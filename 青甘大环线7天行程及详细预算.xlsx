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a87cd2223b74b5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4400d0e2310048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8">
    <x:numFmt numFmtId="41" formatCode="_ * #,##0_ ;_ * \-#,##0_ ;_ * &quot;-&quot;_ ;_ @_ "/>
    <x:numFmt numFmtId="42" formatCode="_ &quot;￥&quot;* #,##0_ ;_ &quot;￥&quot;* \-#,##0_ ;_ &quot;￥&quot;* &quot;-&quot;_ ;_ @_ "/>
    <x:numFmt numFmtId="43" formatCode="_ * #,##0.00_ ;_ * \-#,##0.00_ ;_ * &quot;-&quot;??_ ;_ @_ "/>
    <x:numFmt numFmtId="44" formatCode="_ &quot;￥&quot;* #,##0.00_ ;_ &quot;￥&quot;* \-#,##0.00_ ;_ &quot;￥&quot;* &quot;-&quot;??_ ;_ @_ "/>
    <x:numFmt numFmtId="200" formatCode="m/d"/>
    <x:numFmt numFmtId="201" formatCode="&quot;¥&quot;#,##0.00"/>
    <x:numFmt numFmtId="202" formatCode="&quot;¥&quot;#,##0"/>
    <x:numFmt numFmtId="203" formatCode="0%"/>
  </x:numFmts>
  <x:fonts count="30">
    <x:font>
      <x:sz val="11"/>
      <x:color theme="1"/>
      <x:name val="宋体"/>
    </x:font>
    <x:font>
      <x:b/>
      <x:sz val="14"/>
      <x:color theme="1"/>
      <x:name val="宋体"/>
    </x:font>
    <x:font>
      <x:b/>
      <x:sz val="14"/>
      <x:color rgb="FFFF0000"/>
      <x:name val="宋体"/>
    </x:font>
    <x:font>
      <x:sz val="12"/>
      <x:name val="宋体"/>
    </x:font>
    <x:font>
      <x:sz val="12"/>
      <x:color theme="1"/>
      <x:name val="宋体"/>
    </x:font>
    <x:font>
      <x:sz val="12"/>
      <x:color theme="1"/>
      <x:name val="宋体"/>
    </x:font>
    <x:font>
      <x:sz val="12"/>
      <x:color rgb="FFFF0000"/>
      <x:name val="宋体"/>
    </x:font>
    <x:font>
      <x:sz val="12"/>
      <x:name val="宋体"/>
    </x:font>
    <x:font>
      <x:sz val="11"/>
      <x:color rgb="FF0000FF"/>
      <x:name val="宋体"/>
    </x:font>
    <x:font>
      <x:sz val="11"/>
      <x:color rgb="FF800080"/>
      <x:name val="宋体"/>
    </x:font>
    <x:font>
      <x:sz val="11"/>
      <x:color rgb="FFFF0000"/>
      <x:name val="宋体"/>
    </x:font>
    <x:font>
      <x:b/>
      <x:sz val="18"/>
      <x:color theme="3"/>
      <x:name val="宋体"/>
    </x:font>
    <x:font>
      <x:i/>
      <x:sz val="11"/>
      <x:color rgb="FF7F7F7F"/>
      <x:name val="宋体"/>
    </x:font>
    <x:font>
      <x:b/>
      <x:sz val="15"/>
      <x:color theme="3"/>
      <x:name val="宋体"/>
    </x:font>
    <x:font>
      <x:b/>
      <x:sz val="13"/>
      <x:color theme="3"/>
      <x:name val="宋体"/>
    </x:font>
    <x:font>
      <x:b/>
      <x:sz val="11"/>
      <x:color theme="3"/>
      <x:name val="宋体"/>
    </x:font>
    <x:font>
      <x:sz val="11"/>
      <x:color rgb="FF3F3F76"/>
      <x:name val="宋体"/>
    </x:font>
    <x:font>
      <x:b/>
      <x:sz val="11"/>
      <x:color rgb="FF3F3F3F"/>
      <x:name val="宋体"/>
    </x:font>
    <x:font>
      <x:b/>
      <x:sz val="11"/>
      <x:color rgb="FFFA7D00"/>
      <x:name val="宋体"/>
    </x:font>
    <x:font>
      <x:b/>
      <x:sz val="11"/>
      <x:color rgb="FFFFFFFF"/>
      <x:name val="宋体"/>
    </x:font>
    <x:font>
      <x:sz val="11"/>
      <x:color rgb="FFFA7D00"/>
      <x:name val="宋体"/>
    </x:font>
    <x:font>
      <x:b/>
      <x:sz val="11"/>
      <x:color theme="1"/>
      <x:name val="宋体"/>
    </x:font>
    <x:font>
      <x:sz val="11"/>
      <x:color rgb="FF006100"/>
      <x:name val="宋体"/>
    </x:font>
    <x:font>
      <x:sz val="11"/>
      <x:color rgb="FF9C0006"/>
      <x:name val="宋体"/>
    </x:font>
    <x:font>
      <x:sz val="11"/>
      <x:color rgb="FF9C6500"/>
      <x:name val="宋体"/>
    </x:font>
    <x:font>
      <x:sz val="11"/>
      <x:color theme="0"/>
      <x:name val="宋体"/>
    </x:font>
    <x:font>
      <x:sz val="11"/>
      <x:color theme="1"/>
      <x:name val="宋体"/>
    </x:font>
    <x:font>
      <x:sz val="12"/>
      <x:color rgb="FFFF0000"/>
      <x:name val="宋体"/>
    </x:font>
    <x:font>
      <x:sz val="11"/>
      <x:color rgb="FF26352F"/>
      <x:name val="宋体"/>
    </x:font>
    <x:font>
      <x:b/>
      <x:sz val="11"/>
      <x:color rgb="FF26352F"/>
      <x:name val="宋体"/>
    </x:font>
  </x:fonts>
  <x:fills count="41">
    <x:fill>
      <x:patternFill patternType="none"/>
    </x:fill>
    <x:fill>
      <x:patternFill patternType="gray125"/>
    </x:fill>
    <x:fill>
      <x:patternFill patternType="solid">
        <x:fgColor rgb="FFFFFF00"/>
      </x:patternFill>
    </x:fill>
    <x:fill>
      <x:patternFill patternType="solid">
        <x:fgColor theme="4" tint="0.8"/>
      </x:patternFill>
    </x:fill>
    <x:fill>
      <x:patternFill patternType="solid">
        <x:fgColor rgb="FFFFFFCC"/>
      </x:patternFill>
    </x:fill>
    <x:fill>
      <x:patternFill patternType="solid">
        <x:fgColor rgb="FFFFCC99"/>
      </x:patternFill>
    </x:fill>
    <x:fill>
      <x:patternFill patternType="solid">
        <x:fgColor rgb="FFF2F2F2"/>
      </x:patternFill>
    </x:fill>
    <x:fill>
      <x:patternFill patternType="solid">
        <x:fgColor rgb="FFA5A5A5"/>
      </x:patternFill>
    </x:fill>
    <x:fill>
      <x:patternFill patternType="solid">
        <x:fgColor rgb="FFC6EFCE"/>
      </x:patternFill>
    </x:fill>
    <x:fill>
      <x:patternFill patternType="solid">
        <x:fgColor rgb="FFFFC7CE"/>
      </x:patternFill>
    </x:fill>
    <x:fill>
      <x:patternFill patternType="solid">
        <x:fgColor rgb="FFFFEB9C"/>
      </x:patternFill>
    </x:fill>
    <x:fill>
      <x:patternFill patternType="solid">
        <x:fgColor theme="4"/>
      </x:patternFill>
    </x:fill>
    <x:fill>
      <x:patternFill patternType="solid">
        <x:fgColor theme="4" tint="0.79998"/>
      </x:patternFill>
    </x:fill>
    <x:fill>
      <x:patternFill patternType="solid">
        <x:fgColor theme="4" tint="0.59999"/>
      </x:patternFill>
    </x:fill>
    <x:fill>
      <x:patternFill patternType="solid">
        <x:fgColor theme="4" tint="0.39998"/>
      </x:patternFill>
    </x:fill>
    <x:fill>
      <x:patternFill patternType="solid">
        <x:fgColor theme="5"/>
      </x:patternFill>
    </x:fill>
    <x:fill>
      <x:patternFill patternType="solid">
        <x:fgColor theme="5" tint="0.79998"/>
      </x:patternFill>
    </x:fill>
    <x:fill>
      <x:patternFill patternType="solid">
        <x:fgColor theme="5" tint="0.59999"/>
      </x:patternFill>
    </x:fill>
    <x:fill>
      <x:patternFill patternType="solid">
        <x:fgColor theme="5" tint="0.39998"/>
      </x:patternFill>
    </x:fill>
    <x:fill>
      <x:patternFill patternType="solid">
        <x:fgColor theme="6"/>
      </x:patternFill>
    </x:fill>
    <x:fill>
      <x:patternFill patternType="solid">
        <x:fgColor theme="6" tint="0.79998"/>
      </x:patternFill>
    </x:fill>
    <x:fill>
      <x:patternFill patternType="solid">
        <x:fgColor theme="6" tint="0.59999"/>
      </x:patternFill>
    </x:fill>
    <x:fill>
      <x:patternFill patternType="solid">
        <x:fgColor theme="6" tint="0.39998"/>
      </x:patternFill>
    </x:fill>
    <x:fill>
      <x:patternFill patternType="solid">
        <x:fgColor theme="7"/>
      </x:patternFill>
    </x:fill>
    <x:fill>
      <x:patternFill patternType="solid">
        <x:fgColor theme="7" tint="0.79998"/>
      </x:patternFill>
    </x:fill>
    <x:fill>
      <x:patternFill patternType="solid">
        <x:fgColor theme="7" tint="0.59999"/>
      </x:patternFill>
    </x:fill>
    <x:fill>
      <x:patternFill patternType="solid">
        <x:fgColor theme="7" tint="0.39998"/>
      </x:patternFill>
    </x:fill>
    <x:fill>
      <x:patternFill patternType="solid">
        <x:fgColor theme="8"/>
      </x:patternFill>
    </x:fill>
    <x:fill>
      <x:patternFill patternType="solid">
        <x:fgColor theme="8" tint="0.79998"/>
      </x:patternFill>
    </x:fill>
    <x:fill>
      <x:patternFill patternType="solid">
        <x:fgColor theme="8" tint="0.59999"/>
      </x:patternFill>
    </x:fill>
    <x:fill>
      <x:patternFill patternType="solid">
        <x:fgColor theme="8" tint="0.39998"/>
      </x:patternFill>
    </x:fill>
    <x:fill>
      <x:patternFill patternType="solid">
        <x:fgColor theme="9"/>
      </x:patternFill>
    </x:fill>
    <x:fill>
      <x:patternFill patternType="solid">
        <x:fgColor theme="9" tint="0.79998"/>
      </x:patternFill>
    </x:fill>
    <x:fill>
      <x:patternFill patternType="solid">
        <x:fgColor theme="9" tint="0.59999"/>
      </x:patternFill>
    </x:fill>
    <x:fill>
      <x:patternFill patternType="solid">
        <x:fgColor theme="9" tint="0.39998"/>
      </x:patternFill>
    </x:fill>
    <x:fill>
      <x:patternFill patternType="solid">
        <x:fgColor rgb="FF31584A"/>
      </x:patternFill>
    </x:fill>
    <x:fill>
      <x:patternFill patternType="solid">
        <x:fgColor rgb="FFE8EFEA"/>
      </x:patternFill>
    </x:fill>
    <x:fill>
      <x:patternFill patternType="solid">
        <x:fgColor rgb="FFF2DFC8"/>
      </x:patternFill>
    </x:fill>
    <x:fill>
      <x:patternFill patternType="solid">
        <x:fgColor rgb="FFDDEBDD"/>
      </x:patternFill>
    </x:fill>
    <x:fill>
      <x:patternFill patternType="solid">
        <x:fgColor rgb="FFF8E8DD"/>
      </x:patternFill>
    </x:fill>
    <x:fill>
      <x:patternFill patternType="solid">
        <x:fgColor rgb="FF6D8278"/>
      </x:patternFill>
    </x:fill>
  </x:fills>
  <x:borders count="12">
    <x:border/>
    <x:border>
      <x:left style="thin">
        <x:color auto="1"/>
      </x:left>
      <x:right style="thin">
        <x:color auto="1"/>
      </x:right>
      <x:top style="thin">
        <x:color auto="1"/>
      </x:top>
      <x:bottom style="thin">
        <x:color auto="1"/>
      </x:bottom>
    </x:border>
    <x:border>
      <x:left style="thin">
        <x:color auto="1"/>
      </x:left>
      <x:right style="thin">
        <x:color auto="1"/>
      </x:right>
      <x:bottom style="thin">
        <x:color auto="1"/>
      </x:bottom>
    </x:border>
    <x:border>
      <x:left style="thin">
        <x:color rgb="FFB2B2B2"/>
      </x:left>
      <x:right style="thin">
        <x:color rgb="FFB2B2B2"/>
      </x:right>
      <x:top style="thin">
        <x:color rgb="FFB2B2B2"/>
      </x:top>
      <x:bottom style="thin">
        <x:color rgb="FFB2B2B2"/>
      </x:bottom>
    </x:border>
    <x:border>
      <x:bottom style="medium">
        <x:color theme="4"/>
      </x:bottom>
    </x:border>
    <x:border>
      <x:bottom style="medium">
        <x:color theme="4" tint="0.49998"/>
      </x:bottom>
    </x:border>
    <x:border>
      <x:left style="thin">
        <x:color rgb="FF7F7F7F"/>
      </x:left>
      <x:right style="thin">
        <x:color rgb="FF7F7F7F"/>
      </x:right>
      <x:top style="thin">
        <x:color rgb="FF7F7F7F"/>
      </x:top>
      <x:bottom style="thin">
        <x:color rgb="FF7F7F7F"/>
      </x:bottom>
    </x:border>
    <x:border>
      <x:left style="thin">
        <x:color rgb="FF3F3F3F"/>
      </x:left>
      <x:right style="thin">
        <x:color rgb="FF3F3F3F"/>
      </x:right>
      <x:top style="thin">
        <x:color rgb="FF3F3F3F"/>
      </x:top>
      <x:bottom style="thin">
        <x:color rgb="FF3F3F3F"/>
      </x:bottom>
    </x:border>
    <x:border>
      <x:left style="double">
        <x:color rgb="FF3F3F3F"/>
      </x:left>
      <x:right style="double">
        <x:color rgb="FF3F3F3F"/>
      </x:right>
      <x:top style="double">
        <x:color rgb="FF3F3F3F"/>
      </x:top>
      <x:bottom style="double">
        <x:color rgb="FF3F3F3F"/>
      </x:bottom>
    </x:border>
    <x:border>
      <x:bottom style="double">
        <x:color rgb="FFFF8001"/>
      </x:bottom>
    </x:border>
    <x:border>
      <x:top style="thin">
        <x:color theme="4"/>
      </x:top>
      <x:bottom style="double">
        <x:color theme="4"/>
      </x:bottom>
    </x:border>
    <x:border>
      <x:left style="thin">
        <x:color rgb="FF8B8175"/>
      </x:left>
      <x:right style="thin">
        <x:color rgb="FF8B8175"/>
      </x:right>
      <x:top style="thin">
        <x:color rgb="FF8B8175"/>
      </x:top>
      <x:bottom style="thin">
        <x:color rgb="FF8B8175"/>
      </x:bottom>
    </x:border>
  </x:borders>
  <x:cellStyleXfs count="49">
    <x:xf numFmtId="0" fontId="0" fillId="0" borderId="0">
      <x:alignment vertical="center"/>
    </x:xf>
    <x:xf numFmtId="43" fontId="0" fillId="0" borderId="0" applyFont="0" applyFill="0" applyBorder="0" applyAlignment="0" applyProtection="0">
      <x:alignment vertical="center"/>
    </x:xf>
    <x:xf numFmtId="44" fontId="0" fillId="0" borderId="0" applyFont="0" applyFill="0" applyBorder="0" applyAlignment="0" applyProtection="0">
      <x:alignment vertical="center"/>
    </x:xf>
    <x:xf numFmtId="9" fontId="0" fillId="0" borderId="0" applyFont="0" applyFill="0" applyBorder="0" applyAlignment="0" applyProtection="0">
      <x:alignment vertical="center"/>
    </x:xf>
    <x:xf numFmtId="41" fontId="0" fillId="0" borderId="0" applyFont="0" applyFill="0" applyBorder="0" applyAlignment="0" applyProtection="0">
      <x:alignment vertical="center"/>
    </x:xf>
    <x:xf numFmtId="42" fontId="0" fillId="0" borderId="0" applyFont="0" applyFill="0" applyBorder="0" applyAlignment="0" applyProtection="0">
      <x:alignment vertical="center"/>
    </x:xf>
    <x:xf numFmtId="0" fontId="8" fillId="0" borderId="0" applyNumberFormat="0" applyFill="0" applyBorder="0" applyAlignment="0" applyProtection="0">
      <x:alignment vertical="center"/>
    </x:xf>
    <x:xf numFmtId="0" fontId="9" fillId="0" borderId="0" applyNumberFormat="0" applyFill="0" applyBorder="0" applyAlignment="0" applyProtection="0">
      <x:alignment vertical="center"/>
    </x:xf>
    <x:xf numFmtId="0" fontId="0" fillId="4" borderId="3" applyNumberFormat="0" applyFont="0" applyAlignment="0" applyProtection="0">
      <x:alignment vertical="center"/>
    </x:xf>
    <x:xf numFmtId="0" fontId="10" fillId="0" borderId="0" applyNumberFormat="0" applyFill="0" applyBorder="0" applyAlignment="0" applyProtection="0">
      <x:alignment vertical="center"/>
    </x:xf>
    <x:xf numFmtId="0" fontId="11" fillId="0" borderId="0" applyNumberFormat="0" applyFill="0" applyBorder="0" applyAlignment="0" applyProtection="0">
      <x:alignment vertical="center"/>
    </x:xf>
    <x:xf numFmtId="0" fontId="12" fillId="0" borderId="0" applyNumberFormat="0" applyFill="0" applyBorder="0" applyAlignment="0" applyProtection="0">
      <x:alignment vertical="center"/>
    </x:xf>
    <x:xf numFmtId="0" fontId="13" fillId="0" borderId="4" applyNumberFormat="0" applyFill="0" applyAlignment="0" applyProtection="0">
      <x:alignment vertical="center"/>
    </x:xf>
    <x:xf numFmtId="0" fontId="14" fillId="0" borderId="4" applyNumberFormat="0" applyFill="0" applyAlignment="0" applyProtection="0">
      <x:alignment vertical="center"/>
    </x:xf>
    <x:xf numFmtId="0" fontId="15" fillId="0" borderId="5" applyNumberFormat="0" applyFill="0" applyAlignment="0" applyProtection="0">
      <x:alignment vertical="center"/>
    </x:xf>
    <x:xf numFmtId="0" fontId="15" fillId="0" borderId="0" applyNumberFormat="0" applyFill="0" applyBorder="0" applyAlignment="0" applyProtection="0">
      <x:alignment vertical="center"/>
    </x:xf>
    <x:xf numFmtId="0" fontId="16" fillId="5" borderId="6" applyNumberFormat="0" applyAlignment="0" applyProtection="0">
      <x:alignment vertical="center"/>
    </x:xf>
    <x:xf numFmtId="0" fontId="17" fillId="6" borderId="7" applyNumberFormat="0" applyAlignment="0" applyProtection="0">
      <x:alignment vertical="center"/>
    </x:xf>
    <x:xf numFmtId="0" fontId="18" fillId="6" borderId="6" applyNumberFormat="0" applyAlignment="0" applyProtection="0">
      <x:alignment vertical="center"/>
    </x:xf>
    <x:xf numFmtId="0" fontId="19" fillId="7" borderId="8" applyNumberFormat="0" applyAlignment="0" applyProtection="0">
      <x:alignment vertical="center"/>
    </x:xf>
    <x:xf numFmtId="0" fontId="20" fillId="0" borderId="9" applyNumberFormat="0" applyFill="0" applyAlignment="0" applyProtection="0">
      <x:alignment vertical="center"/>
    </x:xf>
    <x:xf numFmtId="0" fontId="21" fillId="0" borderId="10" applyNumberFormat="0" applyFill="0" applyAlignment="0" applyProtection="0">
      <x:alignment vertical="center"/>
    </x:xf>
    <x:xf numFmtId="0" fontId="22" fillId="8" borderId="0" applyNumberFormat="0" applyBorder="0" applyAlignment="0" applyProtection="0">
      <x:alignment vertical="center"/>
    </x:xf>
    <x:xf numFmtId="0" fontId="23" fillId="9" borderId="0" applyNumberFormat="0" applyBorder="0" applyAlignment="0" applyProtection="0">
      <x:alignment vertical="center"/>
    </x:xf>
    <x:xf numFmtId="0" fontId="24" fillId="10" borderId="0" applyNumberFormat="0" applyBorder="0" applyAlignment="0" applyProtection="0">
      <x:alignment vertical="center"/>
    </x:xf>
    <x:xf numFmtId="0" fontId="25" fillId="11" borderId="0" applyNumberFormat="0" applyBorder="0" applyAlignment="0" applyProtection="0">
      <x:alignment vertical="center"/>
    </x:xf>
    <x:xf numFmtId="0" fontId="26" fillId="12" borderId="0" applyNumberFormat="0" applyBorder="0" applyAlignment="0" applyProtection="0">
      <x:alignment vertical="center"/>
    </x:xf>
    <x:xf numFmtId="0" fontId="26" fillId="13" borderId="0" applyNumberFormat="0" applyBorder="0" applyAlignment="0" applyProtection="0">
      <x:alignment vertical="center"/>
    </x:xf>
    <x:xf numFmtId="0" fontId="25" fillId="14" borderId="0" applyNumberFormat="0" applyBorder="0" applyAlignment="0" applyProtection="0">
      <x:alignment vertical="center"/>
    </x:xf>
    <x:xf numFmtId="0" fontId="25" fillId="15" borderId="0" applyNumberFormat="0" applyBorder="0" applyAlignment="0" applyProtection="0">
      <x:alignment vertical="center"/>
    </x:xf>
    <x:xf numFmtId="0" fontId="26" fillId="16" borderId="0" applyNumberFormat="0" applyBorder="0" applyAlignment="0" applyProtection="0">
      <x:alignment vertical="center"/>
    </x:xf>
    <x:xf numFmtId="0" fontId="26" fillId="17" borderId="0" applyNumberFormat="0" applyBorder="0" applyAlignment="0" applyProtection="0">
      <x:alignment vertical="center"/>
    </x:xf>
    <x:xf numFmtId="0" fontId="25" fillId="18" borderId="0" applyNumberFormat="0" applyBorder="0" applyAlignment="0" applyProtection="0">
      <x:alignment vertical="center"/>
    </x:xf>
    <x:xf numFmtId="0" fontId="25" fillId="19" borderId="0" applyNumberFormat="0" applyBorder="0" applyAlignment="0" applyProtection="0">
      <x:alignment vertical="center"/>
    </x:xf>
    <x:xf numFmtId="0" fontId="26" fillId="20" borderId="0" applyNumberFormat="0" applyBorder="0" applyAlignment="0" applyProtection="0">
      <x:alignment vertical="center"/>
    </x:xf>
    <x:xf numFmtId="0" fontId="26" fillId="21" borderId="0" applyNumberFormat="0" applyBorder="0" applyAlignment="0" applyProtection="0">
      <x:alignment vertical="center"/>
    </x:xf>
    <x:xf numFmtId="0" fontId="25" fillId="22" borderId="0" applyNumberFormat="0" applyBorder="0" applyAlignment="0" applyProtection="0">
      <x:alignment vertical="center"/>
    </x:xf>
    <x:xf numFmtId="0" fontId="25" fillId="23" borderId="0" applyNumberFormat="0" applyBorder="0" applyAlignment="0" applyProtection="0">
      <x:alignment vertical="center"/>
    </x:xf>
    <x:xf numFmtId="0" fontId="26" fillId="24" borderId="0" applyNumberFormat="0" applyBorder="0" applyAlignment="0" applyProtection="0">
      <x:alignment vertical="center"/>
    </x:xf>
    <x:xf numFmtId="0" fontId="26" fillId="25" borderId="0" applyNumberFormat="0" applyBorder="0" applyAlignment="0" applyProtection="0">
      <x:alignment vertical="center"/>
    </x:xf>
    <x:xf numFmtId="0" fontId="25" fillId="26" borderId="0" applyNumberFormat="0" applyBorder="0" applyAlignment="0" applyProtection="0">
      <x:alignment vertical="center"/>
    </x:xf>
    <x:xf numFmtId="0" fontId="25" fillId="27" borderId="0" applyNumberFormat="0" applyBorder="0" applyAlignment="0" applyProtection="0">
      <x:alignment vertical="center"/>
    </x:xf>
    <x:xf numFmtId="0" fontId="26" fillId="28" borderId="0" applyNumberFormat="0" applyBorder="0" applyAlignment="0" applyProtection="0">
      <x:alignment vertical="center"/>
    </x:xf>
    <x:xf numFmtId="0" fontId="26" fillId="29" borderId="0" applyNumberFormat="0" applyBorder="0" applyAlignment="0" applyProtection="0">
      <x:alignment vertical="center"/>
    </x:xf>
    <x:xf numFmtId="0" fontId="25" fillId="30" borderId="0" applyNumberFormat="0" applyBorder="0" applyAlignment="0" applyProtection="0">
      <x:alignment vertical="center"/>
    </x:xf>
    <x:xf numFmtId="0" fontId="25" fillId="31" borderId="0" applyNumberFormat="0" applyBorder="0" applyAlignment="0" applyProtection="0">
      <x:alignment vertical="center"/>
    </x:xf>
    <x:xf numFmtId="0" fontId="26" fillId="32" borderId="0" applyNumberFormat="0" applyBorder="0" applyAlignment="0" applyProtection="0">
      <x:alignment vertical="center"/>
    </x:xf>
    <x:xf numFmtId="0" fontId="26" fillId="33" borderId="0" applyNumberFormat="0" applyBorder="0" applyAlignment="0" applyProtection="0">
      <x:alignment vertical="center"/>
    </x:xf>
    <x:xf numFmtId="0" fontId="25" fillId="34" borderId="0" applyNumberFormat="0" applyBorder="0" applyAlignment="0" applyProtection="0">
      <x:alignment vertical="center"/>
    </x:xf>
  </x:cellStyleXfs>
  <x:cellXfs count="54">
    <x:xf numFmtId="0" fontId="0" fillId="0" borderId="0" xfId="0">
      <x:alignment vertical="center"/>
    </x:xf>
    <x:xf numFmtId="0" fontId="0" fillId="0" borderId="0" xfId="0" applyFill="1" applyAlignment="1">
      <x:alignment vertical="center"/>
    </x:xf>
    <x:xf numFmtId="0" fontId="1" fillId="2" borderId="1" xfId="0" applyFont="1" applyFill="1" applyBorder="1" applyAlignment="1">
      <x:alignment horizontal="center" vertical="center"/>
    </x:xf>
    <x:xf numFmtId="0" fontId="2" fillId="2" borderId="1" xfId="0" applyFont="1" applyFill="1" applyBorder="1" applyAlignment="1">
      <x:alignment horizontal="center" vertical="center"/>
    </x:xf>
    <x:xf numFmtId="0" fontId="0" fillId="0" borderId="1" xfId="0" applyFill="1" applyBorder="1" applyAlignment="1">
      <x:alignment horizontal="center" vertical="center"/>
    </x:xf>
    <x:xf numFmtId="58" fontId="3" fillId="0" borderId="1" xfId="0" applyNumberFormat="1" applyFont="1" applyFill="1" applyBorder="1" applyAlignment="1">
      <x:alignment horizontal="center" vertical="center"/>
    </x:xf>
    <x:xf numFmtId="0" fontId="3" fillId="0" borderId="1" xfId="0" applyFont="1" applyFill="1" applyBorder="1" applyAlignment="1">
      <x:alignment horizontal="center" vertical="center"/>
    </x:xf>
    <x:xf numFmtId="0" fontId="4" fillId="0" borderId="1" xfId="0" applyFont="1" applyFill="1" applyBorder="1" applyAlignment="1">
      <x:alignment horizontal="center" vertical="center"/>
    </x:xf>
    <x:xf numFmtId="0" fontId="4" fillId="0" borderId="1" xfId="0" applyFont="1" applyFill="1" applyBorder="1" applyAlignment="1">
      <x:alignment horizontal="center" vertical="center" wrapText="1"/>
    </x:xf>
    <x:xf numFmtId="0" fontId="5" fillId="0" borderId="1" xfId="0" applyFont="1" applyFill="1" applyBorder="1" applyAlignment="1">
      <x:alignment horizontal="center" vertical="center"/>
    </x:xf>
    <x:xf numFmtId="0" fontId="5" fillId="0" borderId="1" xfId="0" applyFont="1" applyFill="1" applyBorder="1" applyAlignment="1">
      <x:alignment horizontal="center" vertical="center" wrapText="1"/>
    </x:xf>
    <x:xf numFmtId="0" fontId="3" fillId="0" borderId="1" xfId="0" applyFont="1" applyFill="1" applyBorder="1" applyAlignment="1">
      <x:alignment horizontal="center" vertical="center" wrapText="1"/>
    </x:xf>
    <x:xf numFmtId="0" fontId="6" fillId="0" borderId="1" xfId="0" applyFont="1" applyFill="1" applyBorder="1" applyAlignment="1">
      <x:alignment horizontal="center" vertical="center" wrapText="1"/>
    </x:xf>
    <x:xf numFmtId="0" fontId="7" fillId="0" borderId="1" xfId="0" applyFont="1" applyFill="1" applyBorder="1" applyAlignment="1">
      <x:alignment horizontal="center" vertical="center" wrapText="1"/>
    </x:xf>
    <x:xf numFmtId="0" fontId="6" fillId="0" borderId="1" xfId="0" applyFont="1" applyFill="1" applyBorder="1" applyAlignment="1">
      <x:alignment horizontal="center" vertical="center"/>
    </x:xf>
    <x:xf numFmtId="58" fontId="3" fillId="0" borderId="1" xfId="0" applyNumberFormat="1" applyFont="1" applyFill="1" applyBorder="1" applyAlignment="1">
      <x:alignment horizontal="left" vertical="center" wrapText="1"/>
    </x:xf>
    <x:xf numFmtId="0" fontId="5" fillId="0" borderId="1" xfId="0" applyFont="1" applyFill="1" applyBorder="1" applyAlignment="1">
      <x:alignment horizontal="left" vertical="center" wrapText="1"/>
    </x:xf>
    <x:xf numFmtId="0" fontId="5" fillId="0" borderId="1" xfId="0" applyFont="1" applyFill="1" applyBorder="1" applyAlignment="1">
      <x:alignment horizontal="left" vertical="center"/>
    </x:xf>
    <x:xf numFmtId="0" fontId="5" fillId="3" borderId="1" xfId="0" applyFont="1" applyFill="1" applyBorder="1" applyAlignment="1">
      <x:alignment horizontal="center" vertical="center"/>
    </x:xf>
    <x:xf numFmtId="58" fontId="3" fillId="0" borderId="2" xfId="0" applyNumberFormat="1" applyFont="1" applyFill="1" applyBorder="1" applyAlignment="1">
      <x:alignment horizontal="left" vertical="center" wrapText="1"/>
    </x:xf>
    <x:xf numFmtId="0" fontId="0" fillId="0" borderId="0" xfId="0" applyFill="1" applyBorder="1" applyAlignment="1">
      <x:alignment horizontal="center" vertical="center"/>
    </x:xf>
    <x:xf numFmtId="0" fontId="0" fillId="0" borderId="0" xfId="0" applyFill="1" applyBorder="1" applyAlignment="1">
      <x:alignment vertical="center"/>
    </x:xf>
    <x:xf numFmtId="200" fontId="0" fillId="0" borderId="0" xfId="0" applyNumberFormat="1" applyFont="1" applyFill="1" applyBorder="1" applyAlignment="1">
      <x:alignment vertical="center"/>
    </x:xf>
    <x:xf numFmtId="0" fontId="0" fillId="0" borderId="11" xfId="0" applyNumberFormat="1" applyFont="1" applyFill="1" applyBorder="1" applyAlignment="1">
      <x:alignment vertical="center"/>
    </x:xf>
    <x:xf numFmtId="200" fontId="0" fillId="0" borderId="11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/>
    </x:xf>
    <x:xf numFmtId="200" fontId="28" fillId="0" borderId="11" xfId="0" applyNumberFormat="1" applyFont="1" applyFill="1" applyBorder="1" applyAlignment="1">
      <x:alignment vertical="center"/>
    </x:xf>
    <x:xf numFmtId="0" fontId="28" fillId="0" borderId="11" xfId="0" applyNumberFormat="1" applyFont="1" applyFill="1" applyBorder="1" applyAlignment="1">
      <x:alignment vertical="center" wrapText="1"/>
    </x:xf>
    <x:xf numFmtId="200" fontId="28" fillId="0" borderId="11" xfId="0" applyNumberFormat="1" applyFont="1" applyFill="1" applyBorder="1" applyAlignment="1">
      <x:alignment vertical="center" wrapText="1"/>
    </x:xf>
    <x:xf numFmtId="0" fontId="28" fillId="35" borderId="11" xfId="0" applyNumberFormat="1" applyFont="1" applyFill="1" applyBorder="1" applyAlignment="1">
      <x:alignment vertical="center" wrapText="1"/>
    </x:xf>
    <x:xf numFmtId="0" fontId="19" fillId="35" borderId="11" xfId="0" applyNumberFormat="1" applyFont="1" applyFill="1" applyBorder="1" applyAlignment="1">
      <x:alignment vertical="center" wrapText="1"/>
    </x:xf>
    <x:xf numFmtId="0" fontId="19" fillId="35" borderId="11" xfId="0" applyNumberFormat="1" applyFont="1" applyFill="1" applyBorder="1" applyAlignment="1">
      <x:alignment horizontal="center" vertical="center" wrapText="1"/>
    </x:xf>
    <x:xf numFmtId="0" fontId="28" fillId="0" borderId="11" xfId="0" applyNumberFormat="1" applyFont="1" applyFill="1" applyBorder="1" applyAlignment="1">
      <x:alignment horizontal="center" vertical="center" wrapText="1"/>
    </x:xf>
    <x:xf numFmtId="200" fontId="28" fillId="0" borderId="11" xfId="0" applyNumberFormat="1" applyFont="1" applyFill="1" applyBorder="1" applyAlignment="1">
      <x:alignment horizontal="center" vertical="center" wrapText="1"/>
    </x:xf>
    <x:xf numFmtId="0" fontId="28" fillId="0" borderId="11" xfId="0" applyNumberFormat="1" applyFont="1" applyFill="1" applyBorder="1" applyAlignment="1">
      <x:alignment horizontal="left" vertical="center" wrapText="1"/>
    </x:xf>
    <x:xf numFmtId="0" fontId="28" fillId="36" borderId="11" xfId="0" applyNumberFormat="1" applyFont="1" applyFill="1" applyBorder="1" applyAlignment="1">
      <x:alignment horizontal="left" vertical="center" wrapText="1"/>
    </x:xf>
    <x:xf numFmtId="0" fontId="28" fillId="37" borderId="11" xfId="0" applyNumberFormat="1" applyFont="1" applyFill="1" applyBorder="1" applyAlignment="1">
      <x:alignment horizontal="center" vertical="center" wrapText="1"/>
    </x:xf>
    <x:xf numFmtId="0" fontId="28" fillId="37" borderId="11" xfId="0" applyNumberFormat="1" applyFont="1" applyFill="1" applyBorder="1" applyAlignment="1">
      <x:alignment vertical="center" wrapText="1"/>
    </x:xf>
    <x:xf numFmtId="0" fontId="29" fillId="37" borderId="11" xfId="0" applyNumberFormat="1" applyFont="1" applyFill="1" applyBorder="1" applyAlignment="1">
      <x:alignment horizontal="center" vertical="center" wrapText="1"/>
    </x:xf>
    <x:xf numFmtId="0" fontId="29" fillId="37" borderId="11" xfId="0" applyNumberFormat="1" applyFont="1" applyFill="1" applyBorder="1" applyAlignment="1">
      <x:alignment vertical="center" wrapText="1"/>
    </x:xf>
    <x:xf numFmtId="0" fontId="28" fillId="38" borderId="11" xfId="0" applyNumberFormat="1" applyFont="1" applyFill="1" applyBorder="1" applyAlignment="1">
      <x:alignment horizontal="left" vertical="center" wrapText="1"/>
    </x:xf>
    <x:xf numFmtId="0" fontId="28" fillId="39" borderId="11" xfId="0" applyNumberFormat="1" applyFont="1" applyFill="1" applyBorder="1" applyAlignment="1">
      <x:alignment horizontal="left" vertical="center" wrapText="1"/>
    </x:xf>
    <x:xf numFmtId="0" fontId="28" fillId="38" borderId="11" xfId="0" applyNumberFormat="1" applyFont="1" applyFill="1" applyBorder="1" applyAlignment="1">
      <x:alignment vertical="center" wrapText="1"/>
    </x:xf>
    <x:xf numFmtId="0" fontId="29" fillId="38" borderId="11" xfId="0" applyNumberFormat="1" applyFont="1" applyFill="1" applyBorder="1" applyAlignment="1">
      <x:alignment vertical="center" wrapText="1"/>
    </x:xf>
    <x:xf numFmtId="0" fontId="28" fillId="40" borderId="11" xfId="0" applyNumberFormat="1" applyFont="1" applyFill="1" applyBorder="1" applyAlignment="1">
      <x:alignment vertical="center" wrapText="1"/>
    </x:xf>
    <x:xf numFmtId="0" fontId="19" fillId="40" borderId="11" xfId="0" applyNumberFormat="1" applyFont="1" applyFill="1" applyBorder="1" applyAlignment="1">
      <x:alignment vertical="center" wrapText="1"/>
    </x:xf>
    <x:xf numFmtId="0" fontId="19" fillId="40" borderId="11" xfId="0" applyNumberFormat="1" applyFont="1" applyFill="1" applyBorder="1" applyAlignment="1">
      <x:alignment horizontal="center" vertical="center" wrapText="1"/>
    </x:xf>
    <x:xf numFmtId="201" fontId="28" fillId="0" borderId="11" xfId="0" applyNumberFormat="1" applyFont="1" applyFill="1" applyBorder="1" applyAlignment="1">
      <x:alignment horizontal="center" vertical="center" wrapText="1"/>
    </x:xf>
    <x:xf numFmtId="202" fontId="28" fillId="0" borderId="11" xfId="0" applyNumberFormat="1" applyFont="1" applyFill="1" applyBorder="1" applyAlignment="1">
      <x:alignment horizontal="center" vertical="center" wrapText="1"/>
    </x:xf>
    <x:xf numFmtId="202" fontId="29" fillId="38" borderId="11" xfId="0" applyNumberFormat="1" applyFont="1" applyFill="1" applyBorder="1" applyAlignment="1">
      <x:alignment vertical="center" wrapText="1"/>
    </x:xf>
    <x:xf numFmtId="203" fontId="28" fillId="0" borderId="11" xfId="0" applyNumberFormat="1" applyFont="1" applyFill="1" applyBorder="1" applyAlignment="1">
      <x:alignment horizontal="center" vertical="center" wrapText="1"/>
    </x:xf>
    <x:xf numFmtId="202" fontId="28" fillId="37" borderId="11" xfId="0" applyNumberFormat="1" applyFont="1" applyFill="1" applyBorder="1" applyAlignment="1">
      <x:alignment horizontal="center" vertical="center" wrapText="1"/>
    </x:xf>
    <x:xf numFmtId="202" fontId="29" fillId="37" borderId="11" xfId="0" applyNumberFormat="1" applyFont="1" applyFill="1" applyBorder="1" applyAlignment="1">
      <x:alignment horizontal="center" vertical="center" wrapText="1"/>
    </x:xf>
    <x:xf numFmtId="0" fontId="28" fillId="39" borderId="11" xfId="0" applyNumberFormat="1" applyFont="1" applyFill="1" applyBorder="1" applyAlignment="1">
      <x:alignment vertical="center" wrapText="1"/>
    </x:xf>
  </x:cellXfs>
  <x:cellStyles count="49">
    <x:cellStyle name="常规" xfId="0"/>
    <x:cellStyle name="千位分隔" xfId="1"/>
    <x:cellStyle name="货币" xfId="2"/>
    <x:cellStyle name="百分比" xfId="3"/>
    <x:cellStyle name="千位分隔[0]" xfId="4"/>
    <x:cellStyle name="货币[0]" xfId="5"/>
    <x:cellStyle name="超链接" xfId="6"/>
    <x:cellStyle name="已访问的超链接" xfId="7"/>
    <x:cellStyle name="注释" xfId="8"/>
    <x:cellStyle name="警告文本" xfId="9"/>
    <x:cellStyle name="标题" xfId="10"/>
    <x:cellStyle name="解释性文本" xfId="11"/>
    <x:cellStyle name="标题 1" xfId="12"/>
    <x:cellStyle name="标题 2" xfId="13"/>
    <x:cellStyle name="标题 3" xfId="14"/>
    <x:cellStyle name="标题 4" xfId="15"/>
    <x:cellStyle name="输入" xfId="16"/>
    <x:cellStyle name="输出" xfId="17"/>
    <x:cellStyle name="计算" xfId="18"/>
    <x:cellStyle name="检查单元格" xfId="19"/>
    <x:cellStyle name="链接单元格" xfId="20"/>
    <x:cellStyle name="汇总" xfId="21"/>
    <x:cellStyle name="好" xfId="22"/>
    <x:cellStyle name="差" xfId="23"/>
    <x:cellStyle name="适中" xfId="24"/>
    <x:cellStyle name="强调文字颜色 1" xfId="25"/>
    <x:cellStyle name="20% - 强调文字颜色 1" xfId="26"/>
    <x:cellStyle name="40% - 强调文字颜色 1" xfId="27"/>
    <x:cellStyle name="60% - 强调文字颜色 1" xfId="28"/>
    <x:cellStyle name="强调文字颜色 2" xfId="29"/>
    <x:cellStyle name="20% - 强调文字颜色 2" xfId="30"/>
    <x:cellStyle name="40% - 强调文字颜色 2" xfId="31"/>
    <x:cellStyle name="60% - 强调文字颜色 2" xfId="32"/>
    <x:cellStyle name="强调文字颜色 3" xfId="33"/>
    <x:cellStyle name="20% - 强调文字颜色 3" xfId="34"/>
    <x:cellStyle name="40% - 强调文字颜色 3" xfId="35"/>
    <x:cellStyle name="60% - 强调文字颜色 3" xfId="36"/>
    <x:cellStyle name="强调文字颜色 4" xfId="37"/>
    <x:cellStyle name="20% - 强调文字颜色 4" xfId="38"/>
    <x:cellStyle name="40% - 强调文字颜色 4" xfId="39"/>
    <x:cellStyle name="60% - 强调文字颜色 4" xfId="40"/>
    <x:cellStyle name="强调文字颜色 5" xfId="41"/>
    <x:cellStyle name="20% - 强调文字颜色 5" xfId="42"/>
    <x:cellStyle name="40% - 强调文字颜色 5" xfId="43"/>
    <x:cellStyle name="60% - 强调文字颜色 5" xfId="44"/>
    <x:cellStyle name="强调文字颜色 6" xfId="45"/>
    <x:cellStyle name="20% - 强调文字颜色 6" xfId="46"/>
    <x:cellStyle name="40% - 强调文字颜色 6" xfId="47"/>
    <x:cellStyle name="60% - 强调文字颜色 6" xfId="48"/>
  </x:cellStyles>
  <x:dxfs count="17"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</x:dxf>
    <x:dxf>
      <x:font>
        <x:b/>
        <x:color theme="1"/>
      </x:font>
    </x:dxf>
    <x:dxf>
      <x:font>
        <x:b/>
        <x:color theme="1"/>
      </x:font>
      <x:border>
        <x:top style="double">
          <x:color theme="4"/>
        </x:top>
      </x:border>
    </x:dxf>
    <x:dxf>
      <x:font>
        <x:b/>
        <x:color theme="0"/>
      </x:font>
      <x:fill>
        <x:patternFill>
          <x:bgColor theme="4"/>
        </x:patternFill>
      </x:fill>
    </x:dxf>
    <x:dxf>
      <x:font>
        <x:color theme="1"/>
      </x:font>
      <x:border>
        <x:left style="thin">
          <x:color theme="4"/>
        </x:left>
        <x:right style="thin">
          <x:color theme="4"/>
        </x:right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b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  <x:dxf>
      <x:font>
        <x:color theme="1"/>
      </x:font>
    </x:dxf>
    <x:dxf>
      <x:font>
        <x:color theme="1"/>
      </x:font>
      <x:border>
        <x:bottom style="thin">
          <x:color theme="4" tint="0.39998"/>
        </x:bottom>
      </x:border>
    </x:dxf>
    <x:dxf>
      <x:font>
        <x:b/>
        <x:color theme="1"/>
      </x:font>
    </x:dxf>
    <x:dxf>
      <x:font>
        <x:b/>
        <x:color theme="1"/>
      </x:font>
      <x:border>
        <x:top style="thin">
          <x:color theme="4"/>
        </x:top>
        <x:bottom style="thin">
          <x:color theme="4"/>
        </x:bottom>
      </x:border>
    </x:dxf>
    <x:dxf>
      <x:fill>
        <x:patternFill>
          <x:bgColor theme="4" tint="0.79998"/>
        </x:patternFill>
      </x:fill>
    </x:dxf>
    <x:dxf>
      <x:fill>
        <x:patternFill>
          <x:bgColor theme="4" tint="0.79998"/>
        </x:patternFill>
      </x:fill>
    </x:dxf>
    <x:dxf>
      <x:font>
        <x:b/>
        <x:color theme="1"/>
      </x:font>
      <x:fill>
        <x:patternFill>
          <x:bgColor theme="4" tint="0.79998"/>
        </x:patternFill>
      </x:fill>
      <x:border>
        <x:top style="thin">
          <x:color theme="4" tint="0.39998"/>
        </x:top>
        <x:bottom style="thin">
          <x:color theme="4" tint="0.39998"/>
        </x:bottom>
      </x:border>
    </x:dxf>
    <x:dxf>
      <x:font>
        <x:b/>
        <x:color theme="1"/>
      </x:font>
      <x:fill>
        <x:patternFill>
          <x:bgColor theme="4" tint="0.79998"/>
        </x:patternFill>
      </x:fill>
      <x:border>
        <x:bottom style="thin">
          <x:color theme="4" tint="0.39998"/>
        </x:bottom>
      </x:border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85e69972c82549da" /><Relationship Type="http://schemas.openxmlformats.org/officeDocument/2006/relationships/theme" Target="/xl/theme/theme1.xml" Id="Rc5a47214154f4aac" /><Relationship Type="http://schemas.openxmlformats.org/officeDocument/2006/relationships/sharedStrings" Target="/xl/sharedStrings.xml" Id="R4f653867f1b345aa" /><Relationship Type="http://schemas.openxmlformats.org/officeDocument/2006/relationships/worksheet" Target="/xl/worksheets/sheet1.xml" Id="R4400d0e2310048f7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ColWidth="9.230769157409668" defaultRowHeight="16.799999237060547"/>
  <x:cols>
    <x:col min="1" max="1" width="8" style="1" hidden="0" customWidth="1"/>
    <x:col min="2" max="2" width="9" style="1" hidden="0" customWidth="1"/>
    <x:col min="3" max="3" width="13" style="1" hidden="0" customWidth="1"/>
    <x:col min="4" max="4" width="58" style="1" hidden="0" customWidth="1"/>
    <x:col min="5" max="6" width="17.778846740722656" style="1" customWidth="1"/>
    <x:col min="7" max="7" width="48" style="1" hidden="0" customWidth="1"/>
    <x:col min="8" max="8" width="19" style="1" hidden="0" customWidth="1"/>
    <x:col min="9" max="9" width="34" style="1" hidden="0" customWidth="1"/>
    <x:col min="10" max="10" width="2" style="1" hidden="0" customWidth="1"/>
    <x:col min="11" max="11" width="2" style="1" hidden="0" customWidth="1"/>
    <x:col min="12" max="16384" width="9.230769157409668" style="1" customWidth="0"/>
    <x:col min="5" max="5" width="12" hidden="0" customWidth="1"/>
    <x:col min="6" max="6" width="18" hidden="0" customWidth="1"/>
  </x:cols>
  <x:sheetData>
    <x:row r="1" s="1" customFormat="1" ht="34" customHeight="1">
      <x:c r="A1" s="31" t="str">
        <x:v>天数</x:v>
      </x:c>
      <x:c r="B1" s="31" t="str">
        <x:v>日期</x:v>
      </x:c>
      <x:c r="C1" s="31" t="str">
        <x:v>出发城市</x:v>
      </x:c>
      <x:c r="D1" s="31" t="str">
        <x:v>日间行程（时间轴）</x:v>
      </x:c>
      <x:c r="E1" s="31" t="str">
        <x:v>抵达城市</x:v>
      </x:c>
      <x:c r="F1" s="31" t="str">
        <x:v>公里数</x:v>
      </x:c>
      <x:c r="G1" s="31" t="str">
        <x:v>酒店推荐</x:v>
      </x:c>
      <x:c r="H1" s="31" t="str">
        <x:v>参考价格/间</x:v>
      </x:c>
      <x:c r="I1" s="31" t="str">
        <x:v>星级/档次</x:v>
      </x:c>
      <x:c r="J1"/>
      <x:c r="K1"/>
      <x:c r="L1" s="20"/>
      <x:c r="M1" s="21"/>
      <x:c r="N1" s="21"/>
      <x:c r="O1" s="21"/>
    </x:row>
    <x:row r="2" s="1" customFormat="1" ht="174" customHeight="1">
      <x:c r="A2" s="32" t="str">
        <x:v>D1</x:v>
      </x:c>
      <x:c r="B2" s="33" t="n">
        <x:v>46243</x:v>
      </x:c>
      <x:c r="C2" s="32" t="str">
        <x:v>抵达西宁</x:v>
      </x:c>
      <x:c r="D2" s="34" t="str">
        <x:v>抵达时｜西宁机场 / 火车站
↓ 约 30–60 min 市内接驳
抵达后｜酒店办理入住｜西宁海拔约 2,260 m
午餐｜按实际抵达时间在机场、车站或酒店周边解决
下午｜取车、检查车辆、补充饮水和随车物资
18:30｜晚餐：西宁市区</x:v>
      </x:c>
      <x:c r="E2" s="32" t="str"/>
      <x:c r="F2" s="32" t="str">
        <x:v>约 30–80 km
市内接驳</x:v>
      </x:c>
      <x:c r="G2" s="35" t="str">
        <x:v>西宁万枫酒店
  Trip.com 含税总价；含早餐、可免费取消
宜尚酒店（西宁海湖新区万达广场店）
  Trip.com 含税总价；含早餐、可免费取消
普同酒店
  Trip.com 含税总价</x:v>
      </x:c>
      <x:c r="H2" s="32" t="str">
        <x:v>¥468
¥331
¥398</x:v>
      </x:c>
      <x:c r="I2" s="32" t="str">
        <x:v>高档型
舒适型
舒适型</x:v>
      </x:c>
      <x:c r="J2"/>
      <x:c r="K2"/>
      <x:c r="L2" s="20"/>
      <x:c r="M2" s="21"/>
      <x:c r="N2" s="21"/>
      <x:c r="O2" s="21"/>
    </x:row>
    <x:row r="3" s="1" customFormat="1" ht="238" customHeight="1">
      <x:c r="A3" s="32" t="str">
        <x:v>D2</x:v>
      </x:c>
      <x:c r="B3" s="33" t="n">
        <x:v>46244</x:v>
      </x:c>
      <x:c r="C3" s="32" t="str">
        <x:v>西宁</x:v>
      </x:c>
      <x:c r="D3" s="34" t="str">
        <x:v>09:00｜西宁出发
↓ 约 2 h 30 min
11:30｜青海湖沿途观景点｜海拔约 3,196 m｜游玩 1 h
12:30｜午餐：青海湖沿线 / 江西沟｜用餐约 1 h
13:30｜继续沿湖向西
15:00｜青海湖西岸合规观景点｜海拔约 3,196 m｜游玩 1 h
16:00｜出发前往茶卡
18:00｜抵达茶卡并入住
18:30｜晚餐：茶卡镇</x:v>
      </x:c>
      <x:c r="E3" s="32" t="str">
        <x:v>茶卡</x:v>
      </x:c>
      <x:c r="F3" s="32" t="str">
        <x:v>约 300–330 km
约 5–5.5 h</x:v>
      </x:c>
      <x:c r="G3" s="35" t="str">
        <x:v>茶卡盐湖天域假日酒店
  Trip.com 旺季含税参考价；双床、早餐、可免费取消
柏兰岛酒店
  Trip.com 同酒店旺季参考价；双床、早餐、供氧
汉庭酒店（茶卡盐湖店）
  Trip.com 同酒店旺季参考价</x:v>
      </x:c>
      <x:c r="H3" s="32" t="str">
        <x:v>¥517
约 ¥650–800
约 ¥380–480</x:v>
      </x:c>
      <x:c r="I3" s="32" t="str">
        <x:v>舒适型
高档型
经济型</x:v>
      </x:c>
      <x:c r="J3"/>
      <x:c r="K3"/>
      <x:c r="L3" s="20"/>
      <x:c r="M3" s="21"/>
      <x:c r="N3" s="21"/>
      <x:c r="O3" s="21"/>
    </x:row>
    <x:row r="4" s="1" customFormat="1" ht="238" customHeight="1">
      <x:c r="A4" s="32" t="str">
        <x:v>D3</x:v>
      </x:c>
      <x:c r="B4" s="33" t="n">
        <x:v>46245</x:v>
      </x:c>
      <x:c r="C4" s="32" t="str">
        <x:v>茶卡</x:v>
      </x:c>
      <x:c r="D4" s="34" t="str">
        <x:v>09:00｜茶卡酒店出发
09:20｜茶卡盐湖｜海拔约 3,059 m｜游玩 3 h
12:20｜返回茶卡镇
12:40｜午餐：茶卡镇｜用餐约 1 h
13:40｜出发前往德令哈
↓ 约 3 h 30 min，途中安排休息
17:10｜抵达德令哈并入住｜海拔约 2,980 m
17:40｜巴音河沿岸散步｜游玩约 1 h
19:00｜晚餐：德令哈市区</x:v>
      </x:c>
      <x:c r="E4" s="32" t="str">
        <x:v>德令哈</x:v>
      </x:c>
      <x:c r="F4" s="32" t="str">
        <x:v>约 240–260 km
约 3.5–4 h</x:v>
      </x:c>
      <x:c r="G4" s="35" t="str">
        <x:v>德令哈昆仑大酒店
  Trip.com 公开起价参考；停车方便，入住日需重新确认
德令哈金陵德勒大酒店
  携程同区域旺季规划区间，入住日需重新确认
德令哈森元品质酒店
  携程同区域旺季规划区间，入住日需重新确认</x:v>
      </x:c>
      <x:c r="H4" s="32" t="str">
        <x:v>约 ¥420–550
约 ¥380–550
约 ¥300–450</x:v>
      </x:c>
      <x:c r="I4" s="32" t="str">
        <x:v>高档型
高档型
舒适型</x:v>
      </x:c>
      <x:c r="J4"/>
      <x:c r="K4"/>
      <x:c r="L4" s="20"/>
      <x:c r="M4" s="21"/>
      <x:c r="N4" s="21"/>
      <x:c r="O4" s="21"/>
    </x:row>
    <x:row r="5" s="1" customFormat="1" ht="230" customHeight="1">
      <x:c r="A5" s="32" t="str">
        <x:v>D4</x:v>
      </x:c>
      <x:c r="B5" s="33" t="n">
        <x:v>46246</x:v>
      </x:c>
      <x:c r="C5" s="32" t="str">
        <x:v>德令哈</x:v>
      </x:c>
      <x:c r="D5" s="34" t="str">
        <x:v>09:00｜德令哈出发
↓ 约 2 h 10 min
11:10｜小柴旦湖合规观景点｜海拔约 3,150 m｜游玩约 40 min
11:50｜出发前往大柴旦镇
12:50｜午餐：大柴旦镇｜用餐约 1 h
13:50｜出发前往翡翠湖
14:10｜大柴旦翡翠湖｜海拔约 3,148 m｜游玩约 3 h
17:10｜离开景区
17:30｜返回大柴旦镇并入住
18:30｜晚餐：大柴旦镇</x:v>
      </x:c>
      <x:c r="E5" s="32" t="str">
        <x:v>大柴旦</x:v>
      </x:c>
      <x:c r="F5" s="32" t="str">
        <x:v>约 210–240 km
约 3.5–4 h</x:v>
      </x:c>
      <x:c r="G5" s="35" t="str">
        <x:v>大柴旦丽呈华廷酒店（翡翠步行街店）
  携程指定日期显示有房；供氧、停车、早餐，公开页需登录查看结算价
大柴旦丽呈翠星酒店
  携程同区域房价区间参考
全季酒店（大柴旦翡翠步行街店）
  携程同区域房价区间参考</x:v>
      </x:c>
      <x:c r="H5" s="32" t="str">
        <x:v>约 ¥900–1,300
约 ¥700–1,000
约 ¥750–1,050</x:v>
      </x:c>
      <x:c r="I5" s="32" t="str">
        <x:v>高档型
高档型
舒适型</x:v>
      </x:c>
      <x:c r="J5"/>
      <x:c r="K5"/>
      <x:c r="L5" s="20"/>
      <x:c r="M5" s="21"/>
      <x:c r="N5" s="21"/>
      <x:c r="O5" s="21"/>
    </x:row>
    <x:row r="6" s="1" customFormat="1" ht="230" customHeight="1">
      <x:c r="A6" s="32" t="str">
        <x:v>D5</x:v>
      </x:c>
      <x:c r="B6" s="33" t="n">
        <x:v>46247</x:v>
      </x:c>
      <x:c r="C6" s="32" t="str">
        <x:v>大柴旦</x:v>
      </x:c>
      <x:c r="D6" s="34" t="str">
        <x:v>08:30｜大柴旦镇出发
↓ 约 1 h 30 min
10:00｜G315 U 型公路合规观景点｜海拔约 2,900 m｜游玩 30 min
10:30｜继续向西
12:10｜午餐：沿途服务点 / 随车简餐｜用餐约 50 min
13:00｜前往乌素特水上雅丹
13:30｜乌素特水上雅丹｜海拔约 2,675 m｜游玩约 3 h
16:30｜原路返回大柴旦
↓ 约 3 h
19:30｜返回大柴旦镇
19:45｜晚餐：大柴旦镇</x:v>
      </x:c>
      <x:c r="E6" s="32" t="str"/>
      <x:c r="F6" s="32" t="str">
        <x:v>约 440–480 km
约 6.5–7 h</x:v>
      </x:c>
      <x:c r="G6" s="35" t="str">
        <x:v>续住大柴旦丽呈华廷酒店（翡翠步行街店）
  与前一晚连住，减少换酒店；供氧、停车、早餐
续住大柴旦丽呈翠星酒店
  与前一晚连住，房价以续住页面为准
续住全季酒店（大柴旦翡翠步行街店）
  与前一晚连住，房价以续住页面为准</x:v>
      </x:c>
      <x:c r="H6" s="32" t="str">
        <x:v>约 ¥900–1,300
约 ¥700–1,000
约 ¥750–1,050</x:v>
      </x:c>
      <x:c r="I6" s="32" t="str">
        <x:v>高档型
高档型
舒适型</x:v>
      </x:c>
      <x:c r="J6"/>
      <x:c r="K6"/>
      <x:c r="L6" s="20"/>
      <x:c r="M6" s="21"/>
      <x:c r="N6" s="21"/>
      <x:c r="O6" s="21"/>
    </x:row>
    <x:row r="7" s="1" customFormat="1" ht="230" customHeight="1">
      <x:c r="A7" s="32" t="str">
        <x:v>D6</x:v>
      </x:c>
      <x:c r="B7" s="33" t="n">
        <x:v>46248</x:v>
      </x:c>
      <x:c r="C7" s="32" t="str">
        <x:v>大柴旦</x:v>
      </x:c>
      <x:c r="D7" s="34" t="str">
        <x:v>08:30｜大柴旦镇出发
↓ 约 3 h 30 min
12:00｜午餐：冷湖镇｜用餐、补给和加油约 1 h
13:00｜出发前往黑独山
13:40｜黑独山开放区域｜海拔约 2,800 m｜游玩约 1 h 20 min
15:00｜经阿克塞前往敦煌
↓ 约 4 h 30 min，途中安排休息
19:30｜抵达敦煌并入住
20:00｜晚餐：敦煌市区</x:v>
      </x:c>
      <x:c r="E7" s="32" t="str">
        <x:v>敦煌</x:v>
      </x:c>
      <x:c r="F7" s="32" t="str">
        <x:v>约 520–560 km
约 7.5–8.5 h</x:v>
      </x:c>
      <x:c r="G7" s="35" t="str">
        <x:v>阳光城舒适PLUS酒店（敦煌沙洲夜市店）
  Trip.com 含税总价；双床、可免费取消
敦煌御龙大酒店
  Trip.com 含税总价；双床、早餐、可免费取消
敦煌暮洲·OASIS度假酒店
  Trip.com 含税总价
敦煌白鹿酒店（沙洲市场店）
  Trip.com 含税总价</x:v>
      </x:c>
      <x:c r="H7" s="32" t="str">
        <x:v>¥353
¥303
¥581
¥212</x:v>
      </x:c>
      <x:c r="I7" s="32" t="str">
        <x:v>舒适型
舒适型
度假型
经济型</x:v>
      </x:c>
      <x:c r="J7"/>
      <x:c r="K7"/>
      <x:c r="L7" s="20"/>
      <x:c r="M7" s="21"/>
      <x:c r="N7" s="21"/>
      <x:c r="O7" s="21"/>
    </x:row>
    <x:row r="8" s="1" customFormat="1" ht="210" customHeight="1">
      <x:c r="A8" s="32" t="str">
        <x:v>D7</x:v>
      </x:c>
      <x:c r="B8" s="33" t="n">
        <x:v>46249</x:v>
      </x:c>
      <x:c r="C8" s="32" t="str">
        <x:v>敦煌</x:v>
      </x:c>
      <x:c r="D8" s="34" t="str">
        <x:v>09:00｜敦煌酒店出发
09:30｜莫高窟｜海拔约 1,140 m｜游玩约 4 h
13:30｜返回市区
14:00｜午餐：敦煌市区｜用餐约 1 h
15:00｜酒店休息
16:30｜出发前往鸣沙山月牙泉
17:00｜鸣沙山月牙泉｜海拔约 1,130 m｜游玩约 4 h
21:00｜晚餐：沙州夜市 / 敦煌市区</x:v>
      </x:c>
      <x:c r="E8" s="32" t="str"/>
      <x:c r="F8" s="32" t="str">
        <x:v>约 50–70 km
约 1.5 h</x:v>
      </x:c>
      <x:c r="G8" s="35" t="str">
        <x:v>续住前一晚敦煌酒店
  按 8/15–8/16 一晚计算，实际以续住页面为准</x:v>
      </x:c>
      <x:c r="H8" s="32" t="str">
        <x:v>¥212–581</x:v>
      </x:c>
      <x:c r="I8" s="32" t="str">
        <x:v>经济型—度假型</x:v>
      </x:c>
      <x:c r="J8"/>
      <x:c r="K8"/>
      <x:c r="L8" s="20"/>
      <x:c r="M8" s="21"/>
      <x:c r="N8" s="21"/>
      <x:c r="O8" s="21"/>
    </x:row>
    <x:row r="9" s="1" customFormat="1" ht="72" customHeight="1">
      <x:c r="A9" s="38" t="str">
        <x:v>合计</x:v>
      </x:c>
      <x:c r="B9" s="38" t="str">
        <x:v>8/9–8/15</x:v>
      </x:c>
      <x:c r="C9" s="38" t="str">
        <x:v>西宁</x:v>
      </x:c>
      <x:c r="D9" s="39" t="str">
        <x:v>西宁—青海湖—茶卡—德令哈—小柴旦—大柴旦—G315 U 型公路—水上雅丹—大柴旦—冷湖—黑独山—敦煌</x:v>
      </x:c>
      <x:c r="E9" s="38" t="str">
        <x:v>敦煌</x:v>
      </x:c>
      <x:c r="F9" s="38" t="str">
        <x:v>约 1,850–2,000 km</x:v>
      </x:c>
      <x:c r="G9" s="39" t="str">
        <x:v>酒店共 7 晚；按 8 人、4 间房计算</x:v>
      </x:c>
      <x:c r="H9" s="38" t="str">
        <x:v>住宿预算 ¥15,216/团</x:v>
      </x:c>
      <x:c r="I9" s="38" t="str">
        <x:v>人均住宿 ¥1,902</x:v>
      </x:c>
      <x:c r="J9"/>
      <x:c r="K9"/>
      <x:c r="L9" s="20"/>
      <x:c r="M9" s="21"/>
      <x:c r="N9" s="21"/>
      <x:c r="O9" s="21"/>
    </x:row>
    <x:row r="10" s="1" customFormat="1" ht="58" customHeight="1">
      <x:c r="A10" s="40" t="str">
        <x:v>预算说明：按 8 人、2 辆 5 座燃油 SUV、4 间房、7 晚测算，不含往返西宁/敦煌的大交通；详细预算逐项列于下方。</x:v>
      </x:c>
      <x:c r="B10" s="40"/>
      <x:c r="C10" s="40"/>
      <x:c r="D10" s="40"/>
      <x:c r="E10" s="40"/>
      <x:c r="F10" s="40"/>
      <x:c r="G10" s="40"/>
      <x:c r="H10" s="40"/>
      <x:c r="I10" s="40"/>
      <x:c r="J10"/>
      <x:c r="K10"/>
      <x:c r="L10" s="20"/>
      <x:c r="M10" s="21"/>
      <x:c r="N10" s="21"/>
      <x:c r="O10" s="21"/>
    </x:row>
    <x:row r="11" s="1" customFormat="1" ht="140" customHeight="1">
      <x:c r="A11" s="41" t="str">
        <x:v>预订与安全提醒：日间时间为自驾规划值，受路况、景区预约和实际停留节奏影响；景点海拔均为公开资料约数。8 月 9 日为到达日；普通行程日 09:00 出发，D5、D6 两个长途日 08:30 出发。 提前确认西宁取车、敦煌异地还车；如租车公司不支持，可改为包车。 莫高窟按实名预约场次安排，预约时间会影响 D7 的具体顺序。 D5 游览水上雅丹后返回大柴旦续住；不依赖景区住宿。冷湖仅作 D6 午餐、加油和补给点。 荒漠路段见站加油，提前下载离线地图；G315 不在行车道内停车拍照。 酒店价格于 2026 年 7 月 23 日查询，现作为 8 月旺季参考；入住日已调整，价格和房态需在预订页重新确认。预算按 8 人、4 间、7 晚计算。</x:v>
      </x:c>
      <x:c r="B11" s="41"/>
      <x:c r="C11" s="41"/>
      <x:c r="D11" s="41"/>
      <x:c r="E11" s="41"/>
      <x:c r="F11" s="41"/>
      <x:c r="G11" s="41"/>
      <x:c r="H11" s="41"/>
      <x:c r="I11" s="41"/>
      <x:c r="J11"/>
      <x:c r="K11"/>
      <x:c r="L11" s="20"/>
      <x:c r="M11" s="21"/>
      <x:c r="N11" s="21"/>
      <x:c r="O11" s="21"/>
    </x:row>
    <x:row r="12" s="1" customFormat="1" ht="34" customHeight="1">
      <x:c r="A12" s="30" t="str">
        <x:v>8 人详细费用预算（不含往返大交通）</x:v>
      </x:c>
      <x:c r="B12" s="30"/>
      <x:c r="C12" s="30"/>
      <x:c r="D12" s="30"/>
      <x:c r="E12" s="43" t="str">
        <x:v>团费合计</x:v>
      </x:c>
      <x:c r="F12" s="43"/>
      <x:c r="G12" s="49" t="n">
        <x:f>G46</x:f>
        <x:v>48301</x:v>
      </x:c>
      <x:c r="H12" s="43" t="str">
        <x:v>8 人人均</x:v>
      </x:c>
      <x:c r="I12" s="49" t="n">
        <x:f>H46</x:f>
        <x:v>6038</x:v>
      </x:c>
      <x:c r="J12"/>
      <x:c r="K12"/>
      <x:c r="L12" s="20"/>
      <x:c r="M12" s="21"/>
      <x:c r="N12" s="21"/>
      <x:c r="O12" s="21"/>
    </x:row>
    <x:row r="13" s="1" customFormat="1" ht="30" customHeight="1">
      <x:c r="A13" s="46" t="str">
        <x:v>类别</x:v>
      </x:c>
      <x:c r="B13" s="46" t="str">
        <x:v>费用项目 / 计算口径</x:v>
      </x:c>
      <x:c r="C13" s="46"/>
      <x:c r="D13" s="46"/>
      <x:c r="E13" s="46" t="str">
        <x:v>单价</x:v>
      </x:c>
      <x:c r="F13" s="46" t="str">
        <x:v>数量</x:v>
      </x:c>
      <x:c r="G13" s="46" t="str">
        <x:v>8 人合计</x:v>
      </x:c>
      <x:c r="H13" s="46" t="str">
        <x:v>人均</x:v>
      </x:c>
      <x:c r="I13" s="46" t="str">
        <x:v>来源 / 核验说明</x:v>
      </x:c>
      <x:c r="J13"/>
      <x:c r="K13"/>
      <x:c r="L13" s="20"/>
      <x:c r="M13" s="21"/>
      <x:c r="N13" s="21"/>
      <x:c r="O13" s="21"/>
    </x:row>
    <x:row r="14" s="1" customFormat="1" ht="58" customHeight="1">
      <x:c r="A14" s="32" t="str">
        <x:v>租车及车辆</x:v>
      </x:c>
      <x:c r="B14" s="34" t="str">
        <x:v>SUV 车辆租金
¥450/辆/天 × 2 辆 × 7 天</x:v>
      </x:c>
      <x:c r="C14" s="34"/>
      <x:c r="D14" s="34"/>
      <x:c r="E14" s="47" t="n">
        <x:v>450</x:v>
      </x:c>
      <x:c r="F14" s="32" t="n">
        <x:v>14</x:v>
      </x:c>
      <x:c r="G14" s="48" t="n">
        <x:f>ROUND(E14*F14,0)</x:f>
        <x:v>6300</x:v>
      </x:c>
      <x:c r="H14" s="48" t="n">
        <x:f>ROUND(G14/8,0)</x:f>
        <x:v>788</x:v>
      </x:c>
      <x:c r="I14" s="34" t="str">
        <x:v>一嗨西宁公开车型含哈弗 H6；旺季公开市场基准价，精确价需登录
https://www.1hai.cn/c_xining</x:v>
      </x:c>
      <x:c r="J14"/>
      <x:c r="K14"/>
      <x:c r="L14" s="20"/>
      <x:c r="M14" s="21"/>
      <x:c r="N14" s="21"/>
      <x:c r="O14" s="21"/>
    </x:row>
    <x:row r="15" s="1" customFormat="1" ht="58" customHeight="1">
      <x:c r="A15" s="32" t="str">
        <x:v>租车及车辆</x:v>
      </x:c>
      <x:c r="B15" s="34" t="str">
        <x:v>基础服务费
¥50/辆/天 × 2 辆 × 7 天</x:v>
      </x:c>
      <x:c r="C15" s="34"/>
      <x:c r="D15" s="34"/>
      <x:c r="E15" s="47" t="n">
        <x:v>50</x:v>
      </x:c>
      <x:c r="F15" s="32" t="n">
        <x:v>14</x:v>
      </x:c>
      <x:c r="G15" s="48" t="n">
        <x:f>ROUND(E15*F15,0)</x:f>
        <x:v>700</x:v>
      </x:c>
      <x:c r="H15" s="48" t="n">
        <x:f>ROUND(G15/8,0)</x:f>
        <x:v>88</x:v>
      </x:c>
      <x:c r="I15" s="34" t="str">
        <x:v>主流租车平台下单费用结构的规划值
https://www.zuche.com/</x:v>
      </x:c>
      <x:c r="J15"/>
      <x:c r="K15"/>
      <x:c r="L15" s="21"/>
      <x:c r="M15" s="21"/>
      <x:c r="N15" s="21"/>
      <x:c r="O15" s="21"/>
    </x:row>
    <x:row r="16" s="1" customFormat="1" ht="58" customHeight="1">
      <x:c r="A16" s="32" t="str">
        <x:v>租车及车辆</x:v>
      </x:c>
      <x:c r="B16" s="34" t="str">
        <x:v>增强保障
¥80/辆/天 × 2 辆 × 7 天</x:v>
      </x:c>
      <x:c r="C16" s="34"/>
      <x:c r="D16" s="34"/>
      <x:c r="E16" s="47" t="n">
        <x:v>80</x:v>
      </x:c>
      <x:c r="F16" s="32" t="n">
        <x:v>14</x:v>
      </x:c>
      <x:c r="G16" s="48" t="n">
        <x:f>ROUND(E16*F16,0)</x:f>
        <x:v>1120</x:v>
      </x:c>
      <x:c r="H16" s="48" t="n">
        <x:f>ROUND(G16/8,0)</x:f>
        <x:v>140</x:v>
      </x:c>
      <x:c r="I16" s="34" t="str">
        <x:v>按主流平台增强保障常见水平预留，最终以结算页为准
https://www.zuche.com/</x:v>
      </x:c>
      <x:c r="J16"/>
      <x:c r="K16"/>
      <x:c r="L16" s="21"/>
      <x:c r="M16" s="21"/>
      <x:c r="N16" s="21"/>
      <x:c r="O16" s="21"/>
    </x:row>
    <x:row r="17" ht="58" customHeight="1">
      <x:c r="A17" s="32" t="str">
        <x:v>租车及车辆</x:v>
      </x:c>
      <x:c r="B17" s="34" t="str">
        <x:v>西宁取、敦煌还异地还车费
¥1,000/辆 × 2 辆</x:v>
      </x:c>
      <x:c r="C17" s="34"/>
      <x:c r="D17" s="34"/>
      <x:c r="E17" s="47" t="n">
        <x:v>1000</x:v>
      </x:c>
      <x:c r="F17" s="32" t="n">
        <x:v>2</x:v>
      </x:c>
      <x:c r="G17" s="48" t="n">
        <x:f>ROUND(E17*F17,0)</x:f>
        <x:v>2000</x:v>
      </x:c>
      <x:c r="H17" s="48" t="n">
        <x:f>ROUND(G17/8,0)</x:f>
        <x:v>250</x:v>
      </x:c>
      <x:c r="I17" s="34" t="str">
        <x:v>公开攻略显示约 ¥800–1,200/辆；平台精确报价需登录核验
https://booking.1hai.cn/order/firstStep</x:v>
      </x:c>
    </x:row>
    <x:row r="18" ht="58" customHeight="1">
      <x:c r="A18" s="32" t="str">
        <x:v>租车及车辆</x:v>
      </x:c>
      <x:c r="B18" s="34" t="str">
        <x:v>燃油费
1,900 km/辆 × 9.5 L/100km × 2 辆 ≈ 361 L</x:v>
      </x:c>
      <x:c r="C18" s="34"/>
      <x:c r="D18" s="34"/>
      <x:c r="E18" s="47" t="n">
        <x:v>7.37</x:v>
      </x:c>
      <x:c r="F18" s="32" t="n">
        <x:v>361</x:v>
      </x:c>
      <x:c r="G18" s="48" t="n">
        <x:f>ROUND(E18*F18,0)</x:f>
        <x:v>2661</x:v>
      </x:c>
      <x:c r="H18" s="48" t="n">
        <x:f>ROUND(G18/8,0)</x:f>
        <x:v>333</x:v>
      </x:c>
      <x:c r="I18" s="34" t="str">
        <x:v>2026-07-22 青海 92 号汽油 ¥7.37/L
https://www.autohome.com.cn/oil/630000.html</x:v>
      </x:c>
    </x:row>
    <x:row r="19" ht="58" customHeight="1">
      <x:c r="A19" s="32" t="str">
        <x:v>租车及车辆</x:v>
      </x:c>
      <x:c r="B19" s="34" t="str">
        <x:v>高速及路桥费
¥550/辆 × 2 辆</x:v>
      </x:c>
      <x:c r="C19" s="34"/>
      <x:c r="D19" s="34"/>
      <x:c r="E19" s="47" t="n">
        <x:v>550</x:v>
      </x:c>
      <x:c r="F19" s="32" t="n">
        <x:v>2</x:v>
      </x:c>
      <x:c r="G19" s="48" t="n">
        <x:f>ROUND(E19*F19,0)</x:f>
        <x:v>1100</x:v>
      </x:c>
      <x:c r="H19" s="48" t="n">
        <x:f>ROUND(G19/8,0)</x:f>
        <x:v>138</x:v>
      </x:c>
      <x:c r="I19" s="34" t="str">
        <x:v>按本路线高速占比预留，实际以收费站记录为准</x:v>
      </x:c>
    </x:row>
    <x:row r="20" ht="58" customHeight="1">
      <x:c r="A20" s="32" t="str">
        <x:v>租车及车辆</x:v>
      </x:c>
      <x:c r="B20" s="34" t="str">
        <x:v>停车费
全程两车合计预留</x:v>
      </x:c>
      <x:c r="C20" s="34"/>
      <x:c r="D20" s="34"/>
      <x:c r="E20" s="47" t="n">
        <x:v>200</x:v>
      </x:c>
      <x:c r="F20" s="32" t="n">
        <x:v>1</x:v>
      </x:c>
      <x:c r="G20" s="48" t="n">
        <x:f>ROUND(E20*F20,0)</x:f>
        <x:v>200</x:v>
      </x:c>
      <x:c r="H20" s="48" t="n">
        <x:f>ROUND(G20/8,0)</x:f>
        <x:v>25</x:v>
      </x:c>
      <x:c r="I20" s="34" t="str">
        <x:v>茶卡盐湖等景区及城市停车规划值</x:v>
      </x:c>
    </x:row>
    <x:row r="21" ht="58" customHeight="1">
      <x:c r="A21" s="32" t="str">
        <x:v>酒店</x:v>
      </x:c>
      <x:c r="B21" s="34" t="str">
        <x:v>D1 西宁｜宜尚酒店
¥331/间 × 4 间 × 1 晚</x:v>
      </x:c>
      <x:c r="C21" s="34"/>
      <x:c r="D21" s="34"/>
      <x:c r="E21" s="47" t="n">
        <x:v>331</x:v>
      </x:c>
      <x:c r="F21" s="32" t="n">
        <x:v>4</x:v>
      </x:c>
      <x:c r="G21" s="48" t="n">
        <x:f>ROUND(E21*F21,0)</x:f>
        <x:v>1324</x:v>
      </x:c>
      <x:c r="H21" s="48" t="n">
        <x:f>ROUND(G21/8,0)</x:f>
        <x:v>166</x:v>
      </x:c>
      <x:c r="I21" s="34" t="str">
        <x:v>Trip.com 2026-07-23 查询的同酒店旺季含税参考价；入住日需重新确认</x:v>
      </x:c>
    </x:row>
    <x:row r="22" ht="58" customHeight="1">
      <x:c r="A22" s="32" t="str">
        <x:v>酒店</x:v>
      </x:c>
      <x:c r="B22" s="34" t="str">
        <x:v>D2 茶卡｜天域假日酒店
¥517/间 × 4 间 × 1 晚</x:v>
      </x:c>
      <x:c r="C22" s="34"/>
      <x:c r="D22" s="34"/>
      <x:c r="E22" s="47" t="n">
        <x:v>517</x:v>
      </x:c>
      <x:c r="F22" s="32" t="n">
        <x:v>4</x:v>
      </x:c>
      <x:c r="G22" s="48" t="n">
        <x:f>ROUND(E22*F22,0)</x:f>
        <x:v>2068</x:v>
      </x:c>
      <x:c r="H22" s="48" t="n">
        <x:f>ROUND(G22/8,0)</x:f>
        <x:v>259</x:v>
      </x:c>
      <x:c r="I22" s="34" t="str">
        <x:v>Trip.com 2026-07-23 查询的同酒店旺季含税参考价；入住日需重新确认</x:v>
      </x:c>
    </x:row>
    <x:row r="23" ht="58" customHeight="1">
      <x:c r="A23" s="32" t="str">
        <x:v>酒店</x:v>
      </x:c>
      <x:c r="B23" s="34" t="str">
        <x:v>D3 德令哈｜昆仑大酒店
¥450/间 × 4 间 × 1 晚</x:v>
      </x:c>
      <x:c r="C23" s="34"/>
      <x:c r="D23" s="34"/>
      <x:c r="E23" s="47" t="n">
        <x:v>450</x:v>
      </x:c>
      <x:c r="F23" s="32" t="n">
        <x:v>4</x:v>
      </x:c>
      <x:c r="G23" s="48" t="n">
        <x:f>ROUND(E23*F23,0)</x:f>
        <x:v>1800</x:v>
      </x:c>
      <x:c r="H23" s="48" t="n">
        <x:f>ROUND(G23/8,0)</x:f>
        <x:v>225</x:v>
      </x:c>
      <x:c r="I23" s="34" t="str">
        <x:v>Trip.com 2026 页面公开起价约 US$59；按旺季规划值测算，入住日需重新确认
https://www.trip.com/hotels/delingha-hotel-detail-124236601/de-ling-ha-kun-lun-da-jiu-dian/</x:v>
      </x:c>
    </x:row>
    <x:row r="24" ht="58" customHeight="1">
      <x:c r="A24" s="32" t="str">
        <x:v>酒店</x:v>
      </x:c>
      <x:c r="B24" s="34" t="str">
        <x:v>D4 大柴旦｜丽呈华廷酒店
¥900/间 × 4 间 × 1 晚</x:v>
      </x:c>
      <x:c r="C24" s="34"/>
      <x:c r="D24" s="34"/>
      <x:c r="E24" s="47" t="n">
        <x:v>900</x:v>
      </x:c>
      <x:c r="F24" s="32" t="n">
        <x:v>4</x:v>
      </x:c>
      <x:c r="G24" s="48" t="n">
        <x:f>ROUND(E24*F24,0)</x:f>
        <x:v>3600</x:v>
      </x:c>
      <x:c r="H24" s="48" t="n">
        <x:f>ROUND(G24/8,0)</x:f>
        <x:v>450</x:v>
      </x:c>
      <x:c r="I24" s="34" t="str">
        <x:v>携程指定日期有房；公开页需登录，按规划起始价</x:v>
      </x:c>
    </x:row>
    <x:row r="25" ht="58" customHeight="1">
      <x:c r="A25" s="32" t="str">
        <x:v>酒店</x:v>
      </x:c>
      <x:c r="B25" s="34" t="str">
        <x:v>D5 大柴旦续住｜丽呈华廷酒店
¥900/间 × 4 间 × 1 晚</x:v>
      </x:c>
      <x:c r="C25" s="34"/>
      <x:c r="D25" s="34"/>
      <x:c r="E25" s="47" t="n">
        <x:v>900</x:v>
      </x:c>
      <x:c r="F25" s="32" t="n">
        <x:v>4</x:v>
      </x:c>
      <x:c r="G25" s="48" t="n">
        <x:f>ROUND(E25*F25,0)</x:f>
        <x:v>3600</x:v>
      </x:c>
      <x:c r="H25" s="48" t="n">
        <x:f>ROUND(G25/8,0)</x:f>
        <x:v>450</x:v>
      </x:c>
      <x:c r="I25" s="34" t="str">
        <x:v>按前一晚同酒店续住测算；避免依赖水上雅丹景区房态</x:v>
      </x:c>
    </x:row>
    <x:row r="26" ht="58" customHeight="1">
      <x:c r="A26" s="32" t="str">
        <x:v>酒店</x:v>
      </x:c>
      <x:c r="B26" s="34" t="str">
        <x:v>D6 敦煌｜阳光城舒适 PLUS
¥353/间 × 4 间 × 1 晚</x:v>
      </x:c>
      <x:c r="C26" s="34"/>
      <x:c r="D26" s="34"/>
      <x:c r="E26" s="47" t="n">
        <x:v>353</x:v>
      </x:c>
      <x:c r="F26" s="32" t="n">
        <x:v>4</x:v>
      </x:c>
      <x:c r="G26" s="48" t="n">
        <x:f>ROUND(E26*F26,0)</x:f>
        <x:v>1412</x:v>
      </x:c>
      <x:c r="H26" s="48" t="n">
        <x:f>ROUND(G26/8,0)</x:f>
        <x:v>177</x:v>
      </x:c>
      <x:c r="I26" s="34" t="str">
        <x:v>Trip.com 2026-07-23 查询的同酒店旺季含税参考价；入住日需重新确认</x:v>
      </x:c>
    </x:row>
    <x:row r="27" ht="58" customHeight="1">
      <x:c r="A27" s="32" t="str">
        <x:v>酒店</x:v>
      </x:c>
      <x:c r="B27" s="34" t="str">
        <x:v>D7 敦煌续住｜阳光城舒适 PLUS
¥353/间 × 4 间 × 1 晚</x:v>
      </x:c>
      <x:c r="C27" s="34"/>
      <x:c r="D27" s="34"/>
      <x:c r="E27" s="47" t="n">
        <x:v>353</x:v>
      </x:c>
      <x:c r="F27" s="32" t="n">
        <x:v>4</x:v>
      </x:c>
      <x:c r="G27" s="48" t="n">
        <x:f>ROUND(E27*F27,0)</x:f>
        <x:v>1412</x:v>
      </x:c>
      <x:c r="H27" s="48" t="n">
        <x:f>ROUND(G27/8,0)</x:f>
        <x:v>177</x:v>
      </x:c>
      <x:c r="I27" s="34" t="str">
        <x:v>按同酒店续住一晚测算</x:v>
      </x:c>
    </x:row>
    <x:row r="28" ht="58" customHeight="1">
      <x:c r="A28" s="32" t="str">
        <x:v>门票及景交</x:v>
      </x:c>
      <x:c r="B28" s="34" t="str">
        <x:v>青海湖沿途公路观景
不进入二郎剑等收费景区，沿途合规观景 × 8 人</x:v>
      </x:c>
      <x:c r="C28" s="34"/>
      <x:c r="D28" s="34"/>
      <x:c r="E28" s="47" t="n">
        <x:v>0</x:v>
      </x:c>
      <x:c r="F28" s="32" t="n">
        <x:v>8</x:v>
      </x:c>
      <x:c r="G28" s="48" t="n">
        <x:f>ROUND(E28*F28,0)</x:f>
        <x:v>0</x:v>
      </x:c>
      <x:c r="H28" s="48" t="n">
        <x:f>ROUND(G28/8,0)</x:f>
        <x:v>0</x:v>
      </x:c>
      <x:c r="I28" s="34" t="str">
        <x:v>按当前路线规划</x:v>
      </x:c>
    </x:row>
    <x:row r="29" ht="58" customHeight="1">
      <x:c r="A29" s="32" t="str">
        <x:v>门票及景交</x:v>
      </x:c>
      <x:c r="B29" s="34" t="str">
        <x:v>茶卡盐湖门票
¥60/人 × 8 人</x:v>
      </x:c>
      <x:c r="C29" s="34"/>
      <x:c r="D29" s="34"/>
      <x:c r="E29" s="47" t="n">
        <x:v>60</x:v>
      </x:c>
      <x:c r="F29" s="32" t="n">
        <x:v>8</x:v>
      </x:c>
      <x:c r="G29" s="48" t="n">
        <x:f>ROUND(E29*F29,0)</x:f>
        <x:v>480</x:v>
      </x:c>
      <x:c r="H29" s="48" t="n">
        <x:f>ROUND(G29/8,0)</x:f>
        <x:v>60</x:v>
      </x:c>
      <x:c r="I29" s="34" t="str">
        <x:v>2026 旺季全价票
https://www.chakasl.com/pc/introduction/zeme/detail/1051.html</x:v>
      </x:c>
    </x:row>
    <x:row r="30" ht="58" customHeight="1">
      <x:c r="A30" s="32" t="str">
        <x:v>门票及景交</x:v>
      </x:c>
      <x:c r="B30" s="34" t="str">
        <x:v>茶卡盐湖集散中心摆渡车
往返 ¥30/人 × 8 人</x:v>
      </x:c>
      <x:c r="C30" s="34"/>
      <x:c r="D30" s="34"/>
      <x:c r="E30" s="47" t="n">
        <x:v>30</x:v>
      </x:c>
      <x:c r="F30" s="32" t="n">
        <x:v>8</x:v>
      </x:c>
      <x:c r="G30" s="48" t="n">
        <x:f>ROUND(E30*F30,0)</x:f>
        <x:v>240</x:v>
      </x:c>
      <x:c r="H30" s="48" t="n">
        <x:f>ROUND(G30/8,0)</x:f>
        <x:v>30</x:v>
      </x:c>
      <x:c r="I30" s="34" t="str">
        <x:v>景区官网公开价
https://www.chakasl.com/pc/introduction/zeme/detail/1051.html</x:v>
      </x:c>
    </x:row>
    <x:row r="31" ht="58" customHeight="1">
      <x:c r="A31" s="32" t="str">
        <x:v>门票及景交</x:v>
      </x:c>
      <x:c r="B31" s="34" t="str">
        <x:v>茶卡盐湖小火车
往返 ¥100/人 × 8 人</x:v>
      </x:c>
      <x:c r="C31" s="34"/>
      <x:c r="D31" s="34"/>
      <x:c r="E31" s="47" t="n">
        <x:v>100</x:v>
      </x:c>
      <x:c r="F31" s="32" t="n">
        <x:v>8</x:v>
      </x:c>
      <x:c r="G31" s="48" t="n">
        <x:f>ROUND(E31*F31,0)</x:f>
        <x:v>800</x:v>
      </x:c>
      <x:c r="H31" s="48" t="n">
        <x:f>ROUND(G31/8,0)</x:f>
        <x:v>100</x:v>
      </x:c>
      <x:c r="I31" s="34" t="str">
        <x:v>景区官网公开价；如只乘单程可减 ¥50/人
https://www.chakasl.com/pc/introduction/zeme/detail/1051.html</x:v>
      </x:c>
    </x:row>
    <x:row r="32" ht="58" customHeight="1">
      <x:c r="A32" s="32" t="str">
        <x:v>门票及景交</x:v>
      </x:c>
      <x:c r="B32" s="34" t="str">
        <x:v>大柴旦翡翠湖门票
¥50/人 × 8 人</x:v>
      </x:c>
      <x:c r="C32" s="34"/>
      <x:c r="D32" s="34"/>
      <x:c r="E32" s="47" t="n">
        <x:v>50</x:v>
      </x:c>
      <x:c r="F32" s="32" t="n">
        <x:v>8</x:v>
      </x:c>
      <x:c r="G32" s="48" t="n">
        <x:f>ROUND(E32*F32,0)</x:f>
        <x:v>400</x:v>
      </x:c>
      <x:c r="H32" s="48" t="n">
        <x:f>ROUND(G32/8,0)</x:f>
        <x:v>50</x:v>
      </x:c>
      <x:c r="I32" s="34" t="str">
        <x:v>2026 旺季公开价
https://gs.ctrip.com/html5/you/sight/haixiprefecture120012/4331367.html</x:v>
      </x:c>
    </x:row>
    <x:row r="33" ht="58" customHeight="1">
      <x:c r="A33" s="32" t="str">
        <x:v>门票及景交</x:v>
      </x:c>
      <x:c r="B33" s="34" t="str">
        <x:v>大柴旦翡翠湖观光小火车
¥60/人 × 8 人</x:v>
      </x:c>
      <x:c r="C33" s="34"/>
      <x:c r="D33" s="34"/>
      <x:c r="E33" s="47" t="n">
        <x:v>60</x:v>
      </x:c>
      <x:c r="F33" s="32" t="n">
        <x:v>8</x:v>
      </x:c>
      <x:c r="G33" s="48" t="n">
        <x:f>ROUND(E33*F33,0)</x:f>
        <x:v>480</x:v>
      </x:c>
      <x:c r="H33" s="48" t="n">
        <x:f>ROUND(G33/8,0)</x:f>
        <x:v>60</x:v>
      </x:c>
      <x:c r="I33" s="34" t="str">
        <x:v>2026 公开价
https://gs.ctrip.com/html5/you/sight/haixiprefecture120012/4331367.html</x:v>
      </x:c>
    </x:row>
    <x:row r="34" ht="58" customHeight="1">
      <x:c r="A34" s="32" t="str">
        <x:v>门票及景交</x:v>
      </x:c>
      <x:c r="B34" s="34" t="str">
        <x:v>G315 U 型公路
免费公路观景 × 8 人</x:v>
      </x:c>
      <x:c r="C34" s="34"/>
      <x:c r="D34" s="34"/>
      <x:c r="E34" s="47" t="n">
        <x:v>0</x:v>
      </x:c>
      <x:c r="F34" s="32" t="n">
        <x:v>8</x:v>
      </x:c>
      <x:c r="G34" s="48" t="n">
        <x:f>ROUND(E34*F34,0)</x:f>
        <x:v>0</x:v>
      </x:c>
      <x:c r="H34" s="48" t="n">
        <x:f>ROUND(G34/8,0)</x:f>
        <x:v>0</x:v>
      </x:c>
      <x:c r="I34" s="34" t="str">
        <x:v>仅在合规停车区停留</x:v>
      </x:c>
    </x:row>
    <x:row r="35" ht="58" customHeight="1">
      <x:c r="A35" s="32" t="str">
        <x:v>门票及景交</x:v>
      </x:c>
      <x:c r="B35" s="34" t="str">
        <x:v>乌素特水上雅丹门票
¥60/人 × 8 人</x:v>
      </x:c>
      <x:c r="C35" s="34"/>
      <x:c r="D35" s="34"/>
      <x:c r="E35" s="47" t="n">
        <x:v>60</x:v>
      </x:c>
      <x:c r="F35" s="32" t="n">
        <x:v>8</x:v>
      </x:c>
      <x:c r="G35" s="48" t="n">
        <x:f>ROUND(E35*F35,0)</x:f>
        <x:v>480</x:v>
      </x:c>
      <x:c r="H35" s="48" t="n">
        <x:f>ROUND(G35/8,0)</x:f>
        <x:v>60</x:v>
      </x:c>
      <x:c r="I35" s="34" t="str">
        <x:v>景区官网公开价
https://www.wusuteyadan.com/list/ticket.html</x:v>
      </x:c>
    </x:row>
    <x:row r="36" ht="58" customHeight="1">
      <x:c r="A36" s="32" t="str">
        <x:v>门票及景交</x:v>
      </x:c>
      <x:c r="B36" s="34" t="str">
        <x:v>乌素特水上雅丹观光车
往返 ¥60/人 × 8 人</x:v>
      </x:c>
      <x:c r="C36" s="34"/>
      <x:c r="D36" s="34"/>
      <x:c r="E36" s="47" t="n">
        <x:v>60</x:v>
      </x:c>
      <x:c r="F36" s="32" t="n">
        <x:v>8</x:v>
      </x:c>
      <x:c r="G36" s="48" t="n">
        <x:f>ROUND(E36*F36,0)</x:f>
        <x:v>480</x:v>
      </x:c>
      <x:c r="H36" s="48" t="n">
        <x:f>ROUND(G36/8,0)</x:f>
        <x:v>60</x:v>
      </x:c>
      <x:c r="I36" s="34" t="str">
        <x:v>景区官网公开价
https://www.wusuteyadan.com/list/ticket.html</x:v>
      </x:c>
    </x:row>
    <x:row r="37" ht="58" customHeight="1">
      <x:c r="A37" s="32" t="str">
        <x:v>门票及景交</x:v>
      </x:c>
      <x:c r="B37" s="34" t="str">
        <x:v>冷湖/黑独山开放区域
免费开放区域 × 8 人</x:v>
      </x:c>
      <x:c r="C37" s="34"/>
      <x:c r="D37" s="34"/>
      <x:c r="E37" s="47" t="n">
        <x:v>0</x:v>
      </x:c>
      <x:c r="F37" s="32" t="n">
        <x:v>8</x:v>
      </x:c>
      <x:c r="G37" s="48" t="n">
        <x:f>ROUND(E37*F37,0)</x:f>
        <x:v>0</x:v>
      </x:c>
      <x:c r="H37" s="48" t="n">
        <x:f>ROUND(G37/8,0)</x:f>
        <x:v>0</x:v>
      </x:c>
      <x:c r="I37" s="34" t="str">
        <x:v>不含当地临时管控或商业接驳</x:v>
      </x:c>
    </x:row>
    <x:row r="38" ht="58" customHeight="1">
      <x:c r="A38" s="32" t="str">
        <x:v>门票及景交</x:v>
      </x:c>
      <x:c r="B38" s="34" t="str">
        <x:v>莫高窟 A 类常规票
¥238/人 × 8 人</x:v>
      </x:c>
      <x:c r="C38" s="34"/>
      <x:c r="D38" s="34"/>
      <x:c r="E38" s="47" t="n">
        <x:v>238</x:v>
      </x:c>
      <x:c r="F38" s="32" t="n">
        <x:v>8</x:v>
      </x:c>
      <x:c r="G38" s="48" t="n">
        <x:f>ROUND(E38*F38,0)</x:f>
        <x:v>1904</x:v>
      </x:c>
      <x:c r="H38" s="48" t="n">
        <x:f>ROUND(G38/8,0)</x:f>
        <x:v>238</x:v>
      </x:c>
      <x:c r="I38" s="34" t="str">
        <x:v>2026 旺季 A 类票；含数字电影、8 个洞窟、讲解和往返摆渡
https://www.dunhuangcaves.org/skxl/mgk.htm</x:v>
      </x:c>
    </x:row>
    <x:row r="39" ht="58" customHeight="1">
      <x:c r="A39" s="32" t="str">
        <x:v>门票及景交</x:v>
      </x:c>
      <x:c r="B39" s="34" t="str">
        <x:v>鸣沙山月牙泉门票
¥110/人 × 8 人</x:v>
      </x:c>
      <x:c r="C39" s="34"/>
      <x:c r="D39" s="34"/>
      <x:c r="E39" s="47" t="n">
        <x:v>110</x:v>
      </x:c>
      <x:c r="F39" s="32" t="n">
        <x:v>8</x:v>
      </x:c>
      <x:c r="G39" s="48" t="n">
        <x:f>ROUND(E39*F39,0)</x:f>
        <x:v>880</x:v>
      </x:c>
      <x:c r="H39" s="48" t="n">
        <x:f>ROUND(G39/8,0)</x:f>
        <x:v>110</x:v>
      </x:c>
      <x:c r="I39" s="34" t="str">
        <x:v>2026 公开平台票价；骑骆驼等项目不计入基础预算
https://gs.ctrip.com/html5/you/sight/dunhuang8/1563.html</x:v>
      </x:c>
    </x:row>
    <x:row r="40" ht="58" customHeight="1">
      <x:c r="A40" s="32" t="str">
        <x:v>餐饮</x:v>
      </x:c>
      <x:c r="B40" s="34" t="str">
        <x:v>早餐补充
¥20/人/天 × 8 人 × 7 天</x:v>
      </x:c>
      <x:c r="C40" s="34"/>
      <x:c r="D40" s="34"/>
      <x:c r="E40" s="47" t="n">
        <x:v>20</x:v>
      </x:c>
      <x:c r="F40" s="32" t="n">
        <x:v>56</x:v>
      </x:c>
      <x:c r="G40" s="48" t="n">
        <x:f>ROUND(E40*F40,0)</x:f>
        <x:v>1120</x:v>
      </x:c>
      <x:c r="H40" s="48" t="n">
        <x:f>ROUND(G40/8,0)</x:f>
        <x:v>140</x:v>
      </x:c>
      <x:c r="I40" s="34" t="str">
        <x:v>部分酒店含早，按全程保守预留</x:v>
      </x:c>
    </x:row>
    <x:row r="41" ht="58" customHeight="1">
      <x:c r="A41" s="32" t="str">
        <x:v>餐饮</x:v>
      </x:c>
      <x:c r="B41" s="34" t="str">
        <x:v>午餐
¥50/人/天 × 8 人 × 7 天</x:v>
      </x:c>
      <x:c r="C41" s="34"/>
      <x:c r="D41" s="34"/>
      <x:c r="E41" s="47" t="n">
        <x:v>50</x:v>
      </x:c>
      <x:c r="F41" s="32" t="n">
        <x:v>56</x:v>
      </x:c>
      <x:c r="G41" s="48" t="n">
        <x:f>ROUND(E41*F41,0)</x:f>
        <x:v>2800</x:v>
      </x:c>
      <x:c r="H41" s="48" t="n">
        <x:f>ROUND(G41/8,0)</x:f>
        <x:v>350</x:v>
      </x:c>
      <x:c r="I41" s="34" t="str">
        <x:v>西北公路餐饮规划值</x:v>
      </x:c>
    </x:row>
    <x:row r="42" ht="58" customHeight="1">
      <x:c r="A42" s="32" t="str">
        <x:v>餐饮</x:v>
      </x:c>
      <x:c r="B42" s="34" t="str">
        <x:v>晚餐
¥70/人/天 × 8 人 × 7 天</x:v>
      </x:c>
      <x:c r="C42" s="34"/>
      <x:c r="D42" s="34"/>
      <x:c r="E42" s="47" t="n">
        <x:v>70</x:v>
      </x:c>
      <x:c r="F42" s="32" t="n">
        <x:v>56</x:v>
      </x:c>
      <x:c r="G42" s="48" t="n">
        <x:f>ROUND(E42*F42,0)</x:f>
        <x:v>3920</x:v>
      </x:c>
      <x:c r="H42" s="48" t="n">
        <x:f>ROUND(G42/8,0)</x:f>
        <x:v>490</x:v>
      </x:c>
      <x:c r="I42" s="34" t="str">
        <x:v>西北城市及景区周边餐饮规划值</x:v>
      </x:c>
    </x:row>
    <x:row r="43" ht="58" customHeight="1">
      <x:c r="A43" s="32" t="str">
        <x:v>餐饮</x:v>
      </x:c>
      <x:c r="B43" s="34" t="str">
        <x:v>饮水及零食
¥20/人/天 × 8 人 × 7 天</x:v>
      </x:c>
      <x:c r="C43" s="34"/>
      <x:c r="D43" s="34"/>
      <x:c r="E43" s="47" t="n">
        <x:v>20</x:v>
      </x:c>
      <x:c r="F43" s="32" t="n">
        <x:v>56</x:v>
      </x:c>
      <x:c r="G43" s="48" t="n">
        <x:f>ROUND(E43*F43,0)</x:f>
        <x:v>1120</x:v>
      </x:c>
      <x:c r="H43" s="48" t="n">
        <x:f>ROUND(G43/8,0)</x:f>
        <x:v>140</x:v>
      </x:c>
      <x:c r="I43" s="34" t="str">
        <x:v>长途驾驶补给预留</x:v>
      </x:c>
    </x:row>
    <x:row r="44" ht="58" customHeight="1">
      <x:c r="A44" s="32" t="str">
        <x:v>物资及机动</x:v>
      </x:c>
      <x:c r="B44" s="34" t="str">
        <x:v>氧气、常用药和应急用品
¥200/人 × 8 人</x:v>
      </x:c>
      <x:c r="C44" s="34"/>
      <x:c r="D44" s="34"/>
      <x:c r="E44" s="47" t="n">
        <x:v>200</x:v>
      </x:c>
      <x:c r="F44" s="32" t="n">
        <x:v>8</x:v>
      </x:c>
      <x:c r="G44" s="48" t="n">
        <x:f>ROUND(E44*F44,0)</x:f>
        <x:v>1600</x:v>
      </x:c>
      <x:c r="H44" s="48" t="n">
        <x:f>ROUND(G44/8,0)</x:f>
        <x:v>200</x:v>
      </x:c>
      <x:c r="I44" s="34" t="str">
        <x:v>高原及荒漠路段随车物资预留</x:v>
      </x:c>
    </x:row>
    <x:row r="45" ht="58" customHeight="1">
      <x:c r="A45" s="32" t="str">
        <x:v>物资及机动</x:v>
      </x:c>
      <x:c r="B45" s="34" t="str">
        <x:v>机动金
上述费用小计的约 5%</x:v>
      </x:c>
      <x:c r="C45" s="34"/>
      <x:c r="D45" s="34"/>
      <x:c r="E45" s="50" t="n">
        <x:v>0.05</x:v>
      </x:c>
      <x:c r="F45" s="32" t="n">
        <x:v>1</x:v>
      </x:c>
      <x:c r="G45" s="48" t="n">
        <x:f>ROUND(SUM(G14:G44)*E45,0)</x:f>
        <x:v>2300</x:v>
      </x:c>
      <x:c r="H45" s="48" t="n">
        <x:f>ROUND(G45/8,0)</x:f>
        <x:v>288</x:v>
      </x:c>
      <x:c r="I45" s="34" t="str">
        <x:v>用于价格波动、临时补给和小额改签</x:v>
      </x:c>
    </x:row>
    <x:row r="46" ht="42" customHeight="1">
      <x:c r="A46" s="38" t="str">
        <x:v>费用合计</x:v>
      </x:c>
      <x:c r="B46" s="38" t="str">
        <x:v>合计</x:v>
      </x:c>
      <x:c r="C46" s="38"/>
      <x:c r="D46" s="38"/>
      <x:c r="E46" s="38"/>
      <x:c r="F46" s="38"/>
      <x:c r="G46" s="52" t="n">
        <x:f>SUM(G14:G45)</x:f>
        <x:v>48301</x:v>
      </x:c>
      <x:c r="H46" s="52" t="n">
        <x:f>ROUND(G46/8,0)</x:f>
        <x:v>6038</x:v>
      </x:c>
      <x:c r="I46" s="38" t="str">
        <x:v>按 8 人测算</x:v>
      </x:c>
    </x:row>
    <x:row r="47" ht="64" customHeight="1">
      <x:c r="A47" s="41" t="str">
        <x:v>不含项目：不含往返西宁/敦煌的大交通、个人购物、单房差及未列明的自选娱乐项目。租车与异地还车费必须在下单前以平台结算页重新核验。 自选项目（未计入）：鸣沙山骑骆驼、滑沙、越野车等自选项目、莫高窟特窟票、茶卡盐湖游船、观光塔等自选项目。</x:v>
      </x:c>
      <x:c r="B47" s="41"/>
      <x:c r="C47" s="41"/>
      <x:c r="D47" s="41"/>
      <x:c r="E47" s="41"/>
      <x:c r="F47" s="41"/>
      <x:c r="G47" s="41"/>
      <x:c r="H47" s="41"/>
      <x:c r="I47" s="41"/>
    </x:row>
    <x:row r="48" ht="2" customHeight="1"/>
    <x:row r="49" ht="2" customHeight="1"/>
    <x:row r="50" ht="2" customHeight="1"/>
    <x:row r="51" ht="2" customHeight="1"/>
    <x:row r="52" ht="2" customHeight="1"/>
    <x:row r="53" ht="2" customHeight="1"/>
    <x:row r="54" ht="2" customHeight="1"/>
    <x:row r="55" ht="2" customHeight="1"/>
    <x:row r="56" ht="2" customHeight="1"/>
    <x:row r="57" ht="2" customHeight="1"/>
    <x:row r="58" ht="2" customHeight="1"/>
    <x:row r="59" ht="2" customHeight="1"/>
    <x:row r="60" ht="2" customHeight="1"/>
  </x:sheetData>
  <x:mergeCells>
    <x:mergeCell ref="I1:J1"/>
    <x:mergeCell ref="A10:I10"/>
    <x:mergeCell ref="A11:I11"/>
    <x:mergeCell ref="A12:D12"/>
    <x:mergeCell ref="E12:F12"/>
    <x:mergeCell ref="B13:D13"/>
    <x:mergeCell ref="B14:D14"/>
    <x:mergeCell ref="B15:D15"/>
    <x:mergeCell ref="B16:D16"/>
    <x:mergeCell ref="B17:D17"/>
    <x:mergeCell ref="B18:D18"/>
    <x:mergeCell ref="B19:D19"/>
    <x:mergeCell ref="B20:D20"/>
    <x:mergeCell ref="B21:D21"/>
    <x:mergeCell ref="B22:D22"/>
    <x:mergeCell ref="B23:D23"/>
    <x:mergeCell ref="B24:D24"/>
    <x:mergeCell ref="B25:D25"/>
    <x:mergeCell ref="B26:D26"/>
    <x:mergeCell ref="B27:D27"/>
    <x:mergeCell ref="B28:D28"/>
    <x:mergeCell ref="B29:D29"/>
    <x:mergeCell ref="B30:D30"/>
    <x:mergeCell ref="B31:D31"/>
    <x:mergeCell ref="B32:D32"/>
    <x:mergeCell ref="B33:D33"/>
    <x:mergeCell ref="B34:D34"/>
    <x:mergeCell ref="B35:D35"/>
    <x:mergeCell ref="B36:D36"/>
    <x:mergeCell ref="B37:D37"/>
    <x:mergeCell ref="B38:D38"/>
    <x:mergeCell ref="B39:D39"/>
    <x:mergeCell ref="B40:D40"/>
    <x:mergeCell ref="B41:D41"/>
    <x:mergeCell ref="B42:D42"/>
    <x:mergeCell ref="B43:D43"/>
    <x:mergeCell ref="B44:D44"/>
    <x:mergeCell ref="B45:D45"/>
    <x:mergeCell ref="B46:D46"/>
    <x:mergeCell ref="A47:I47"/>
  </x:mergeCells>
  <x:pageMargins left="0.7" right="0.7" top="0.75" bottom="0.75" header="0.3" footer="0.3"/>
</x:worksheet>
</file>