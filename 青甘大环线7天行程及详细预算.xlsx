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78407270234d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6c553e537514b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m/d"/>
    <x:numFmt numFmtId="201" formatCode="&quot;¥&quot;#,##0.00"/>
    <x:numFmt numFmtId="202" formatCode="&quot;¥&quot;#,##0"/>
    <x:numFmt numFmtId="203" formatCode="0%"/>
  </x:numFmts>
  <x:fonts count="30">
    <x:font>
      <x:sz val="11"/>
      <x:color theme="1"/>
      <x:name val="宋体"/>
    </x:font>
    <x:font>
      <x:b/>
      <x:sz val="14"/>
      <x:color theme="1"/>
      <x:name val="宋体"/>
    </x:font>
    <x:font>
      <x:b/>
      <x:sz val="14"/>
      <x:color rgb="FFFF0000"/>
      <x:name val="宋体"/>
    </x:font>
    <x:font>
      <x:sz val="12"/>
      <x:name val="宋体"/>
    </x:font>
    <x:font>
      <x:sz val="12"/>
      <x:color theme="1"/>
      <x:name val="宋体"/>
    </x:font>
    <x:font>
      <x:sz val="12"/>
      <x:color theme="1"/>
      <x:name val="宋体"/>
    </x:font>
    <x:font>
      <x:sz val="12"/>
      <x:color rgb="FFFF0000"/>
      <x:name val="宋体"/>
    </x:font>
    <x:font>
      <x:sz val="12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  <x:font>
      <x:sz val="12"/>
      <x:color rgb="FFFF0000"/>
      <x:name val="宋体"/>
    </x:font>
    <x:font>
      <x:sz val="11"/>
      <x:color rgb="FF26352F"/>
      <x:name val="宋体"/>
    </x:font>
    <x:font>
      <x:b/>
      <x:sz val="11"/>
      <x:color rgb="FF26352F"/>
      <x:name val="宋体"/>
    </x:font>
  </x:fonts>
  <x:fills count="41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theme="4" tint="0.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31584A"/>
      </x:patternFill>
    </x:fill>
    <x:fill>
      <x:patternFill patternType="solid">
        <x:fgColor rgb="FFE8EFEA"/>
      </x:patternFill>
    </x:fill>
    <x:fill>
      <x:patternFill patternType="solid">
        <x:fgColor rgb="FFF2DFC8"/>
      </x:patternFill>
    </x:fill>
    <x:fill>
      <x:patternFill patternType="solid">
        <x:fgColor rgb="FFDDEBDD"/>
      </x:patternFill>
    </x:fill>
    <x:fill>
      <x:patternFill patternType="solid">
        <x:fgColor rgb="FFF8E8DD"/>
      </x:patternFill>
    </x:fill>
    <x:fill>
      <x:patternFill patternType="solid">
        <x:fgColor rgb="FF6D8278"/>
      </x:patternFill>
    </x:fill>
  </x:fills>
  <x:borders count="12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8B8175"/>
      </x:left>
      <x:right style="thin">
        <x:color rgb="FF8B8175"/>
      </x:right>
      <x:top style="thin">
        <x:color rgb="FF8B8175"/>
      </x:top>
      <x:bottom style="thin">
        <x:color rgb="FF8B8175"/>
      </x:bottom>
    </x:border>
  </x:borders>
  <x:cellStyleXfs count="49">
    <x:xf numFmtId="0" fontId="0" fillId="0" borderId="0">
      <x:alignment vertical="center"/>
    </x:xf>
    <x:xf numFmtId="43" fontId="0" fillId="0" borderId="0" applyFont="0" applyFill="0" applyBorder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0" fillId="4" borderId="3" applyNumberFormat="0" applyFont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4" fillId="0" borderId="4" applyNumberFormat="0" applyFill="0" applyAlignment="0" applyProtection="0">
      <x:alignment vertical="center"/>
    </x:xf>
    <x:xf numFmtId="0" fontId="15" fillId="0" borderId="5" applyNumberFormat="0" applyFill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5" borderId="6" applyNumberFormat="0" applyAlignment="0" applyProtection="0">
      <x:alignment vertical="center"/>
    </x:xf>
    <x:xf numFmtId="0" fontId="17" fillId="6" borderId="7" applyNumberFormat="0" applyAlignment="0" applyProtection="0">
      <x:alignment vertical="center"/>
    </x:xf>
    <x:xf numFmtId="0" fontId="18" fillId="6" borderId="6" applyNumberFormat="0" applyAlignment="0" applyProtection="0">
      <x:alignment vertical="center"/>
    </x:xf>
    <x:xf numFmtId="0" fontId="19" fillId="7" borderId="8" applyNumberFormat="0" applyAlignment="0" applyProtection="0">
      <x:alignment vertical="center"/>
    </x:xf>
    <x:xf numFmtId="0" fontId="20" fillId="0" borderId="9" applyNumberFormat="0" applyFill="0" applyAlignment="0" applyProtection="0">
      <x:alignment vertical="center"/>
    </x:xf>
    <x:xf numFmtId="0" fontId="21" fillId="0" borderId="10" applyNumberFormat="0" applyFill="0" applyAlignment="0" applyProtection="0">
      <x:alignment vertical="center"/>
    </x:xf>
    <x:xf numFmtId="0" fontId="22" fillId="8" borderId="0" applyNumberFormat="0" applyBorder="0" applyAlignment="0" applyProtection="0">
      <x:alignment vertical="center"/>
    </x:xf>
    <x:xf numFmtId="0" fontId="23" fillId="9" borderId="0" applyNumberFormat="0" applyBorder="0" applyAlignment="0" applyProtection="0">
      <x:alignment vertical="center"/>
    </x:xf>
    <x:xf numFmtId="0" fontId="24" fillId="10" borderId="0" applyNumberFormat="0" applyBorder="0" applyAlignment="0" applyProtection="0">
      <x:alignment vertical="center"/>
    </x:xf>
    <x:xf numFmtId="0" fontId="25" fillId="11" borderId="0" applyNumberFormat="0" applyBorder="0" applyAlignment="0" applyProtection="0">
      <x:alignment vertical="center"/>
    </x:xf>
    <x:xf numFmtId="0" fontId="26" fillId="12" borderId="0" applyNumberFormat="0" applyBorder="0" applyAlignment="0" applyProtection="0">
      <x:alignment vertical="center"/>
    </x:xf>
    <x:xf numFmtId="0" fontId="26" fillId="13" borderId="0" applyNumberFormat="0" applyBorder="0" applyAlignment="0" applyProtection="0">
      <x:alignment vertical="center"/>
    </x:xf>
    <x:xf numFmtId="0" fontId="25" fillId="14" borderId="0" applyNumberFormat="0" applyBorder="0" applyAlignment="0" applyProtection="0">
      <x:alignment vertical="center"/>
    </x:xf>
    <x:xf numFmtId="0" fontId="25" fillId="15" borderId="0" applyNumberFormat="0" applyBorder="0" applyAlignment="0" applyProtection="0">
      <x:alignment vertical="center"/>
    </x:xf>
    <x:xf numFmtId="0" fontId="26" fillId="16" borderId="0" applyNumberFormat="0" applyBorder="0" applyAlignment="0" applyProtection="0">
      <x:alignment vertical="center"/>
    </x:xf>
    <x:xf numFmtId="0" fontId="26" fillId="17" borderId="0" applyNumberFormat="0" applyBorder="0" applyAlignment="0" applyProtection="0">
      <x:alignment vertical="center"/>
    </x:xf>
    <x:xf numFmtId="0" fontId="25" fillId="18" borderId="0" applyNumberFormat="0" applyBorder="0" applyAlignment="0" applyProtection="0">
      <x:alignment vertical="center"/>
    </x:xf>
    <x:xf numFmtId="0" fontId="25" fillId="19" borderId="0" applyNumberFormat="0" applyBorder="0" applyAlignment="0" applyProtection="0">
      <x:alignment vertical="center"/>
    </x:xf>
    <x:xf numFmtId="0" fontId="26" fillId="20" borderId="0" applyNumberFormat="0" applyBorder="0" applyAlignment="0" applyProtection="0">
      <x:alignment vertical="center"/>
    </x:xf>
    <x:xf numFmtId="0" fontId="26" fillId="21" borderId="0" applyNumberFormat="0" applyBorder="0" applyAlignment="0" applyProtection="0">
      <x:alignment vertical="center"/>
    </x:xf>
    <x:xf numFmtId="0" fontId="25" fillId="22" borderId="0" applyNumberFormat="0" applyBorder="0" applyAlignment="0" applyProtection="0">
      <x:alignment vertical="center"/>
    </x:xf>
    <x:xf numFmtId="0" fontId="25" fillId="23" borderId="0" applyNumberFormat="0" applyBorder="0" applyAlignment="0" applyProtection="0">
      <x:alignment vertical="center"/>
    </x:xf>
    <x:xf numFmtId="0" fontId="26" fillId="24" borderId="0" applyNumberFormat="0" applyBorder="0" applyAlignment="0" applyProtection="0">
      <x:alignment vertical="center"/>
    </x:xf>
    <x:xf numFmtId="0" fontId="26" fillId="25" borderId="0" applyNumberFormat="0" applyBorder="0" applyAlignment="0" applyProtection="0">
      <x:alignment vertical="center"/>
    </x:xf>
    <x:xf numFmtId="0" fontId="25" fillId="26" borderId="0" applyNumberFormat="0" applyBorder="0" applyAlignment="0" applyProtection="0">
      <x:alignment vertical="center"/>
    </x:xf>
    <x:xf numFmtId="0" fontId="25" fillId="27" borderId="0" applyNumberFormat="0" applyBorder="0" applyAlignment="0" applyProtection="0">
      <x:alignment vertical="center"/>
    </x:xf>
    <x:xf numFmtId="0" fontId="26" fillId="28" borderId="0" applyNumberFormat="0" applyBorder="0" applyAlignment="0" applyProtection="0">
      <x:alignment vertical="center"/>
    </x:xf>
    <x:xf numFmtId="0" fontId="26" fillId="29" borderId="0" applyNumberFormat="0" applyBorder="0" applyAlignment="0" applyProtection="0">
      <x:alignment vertical="center"/>
    </x:xf>
    <x:xf numFmtId="0" fontId="25" fillId="30" borderId="0" applyNumberFormat="0" applyBorder="0" applyAlignment="0" applyProtection="0">
      <x:alignment vertical="center"/>
    </x:xf>
    <x:xf numFmtId="0" fontId="25" fillId="31" borderId="0" applyNumberFormat="0" applyBorder="0" applyAlignment="0" applyProtection="0">
      <x:alignment vertical="center"/>
    </x:xf>
    <x:xf numFmtId="0" fontId="26" fillId="32" borderId="0" applyNumberFormat="0" applyBorder="0" applyAlignment="0" applyProtection="0">
      <x:alignment vertical="center"/>
    </x:xf>
    <x:xf numFmtId="0" fontId="26" fillId="33" borderId="0" applyNumberFormat="0" applyBorder="0" applyAlignment="0" applyProtection="0">
      <x:alignment vertical="center"/>
    </x:xf>
    <x:xf numFmtId="0" fontId="25" fillId="34" borderId="0" applyNumberFormat="0" applyBorder="0" applyAlignment="0" applyProtection="0">
      <x:alignment vertical="center"/>
    </x:xf>
  </x:cellStyleXfs>
  <x:cellXfs count="61">
    <x:xf numFmtId="0" fontId="0" fillId="0" borderId="0" xfId="0">
      <x:alignment vertical="center"/>
    </x:xf>
    <x:xf numFmtId="0" fontId="0" fillId="0" borderId="0" xfId="0" applyFill="1" applyAlignment="1">
      <x:alignment vertical="center"/>
    </x:xf>
    <x:xf numFmtId="0" fontId="1" fillId="2" borderId="1" xfId="0" applyFont="1" applyFill="1" applyBorder="1" applyAlignment="1">
      <x:alignment horizontal="center" vertical="center"/>
    </x:xf>
    <x:xf numFmtId="0" fontId="2" fillId="2" borderId="1" xfId="0" applyFont="1" applyFill="1" applyBorder="1" applyAlignment="1">
      <x:alignment horizontal="center" vertical="center"/>
    </x:xf>
    <x:xf numFmtId="0" fontId="0" fillId="0" borderId="1" xfId="0" applyFill="1" applyBorder="1" applyAlignment="1">
      <x:alignment horizontal="center" vertical="center"/>
    </x:xf>
    <x:xf numFmtId="58" fontId="3" fillId="0" borderId="1" xfId="0" applyNumberFormat="1" applyFont="1" applyFill="1" applyBorder="1" applyAlignment="1">
      <x:alignment horizontal="center" vertical="center"/>
    </x:xf>
    <x:xf numFmtId="0" fontId="3" fillId="0" borderId="1" xfId="0" applyFont="1" applyFill="1" applyBorder="1" applyAlignment="1">
      <x:alignment horizontal="center" vertical="center"/>
    </x:xf>
    <x:xf numFmtId="0" fontId="4" fillId="0" borderId="1" xfId="0" applyFont="1" applyFill="1" applyBorder="1" applyAlignment="1">
      <x:alignment horizontal="center" vertical="center"/>
    </x:xf>
    <x:xf numFmtId="0" fontId="4" fillId="0" borderId="1" xfId="0" applyFont="1" applyFill="1" applyBorder="1" applyAlignment="1">
      <x:alignment horizontal="center" vertical="center" wrapText="1"/>
    </x:xf>
    <x:xf numFmtId="0" fontId="5" fillId="0" borderId="1" xfId="0" applyFont="1" applyFill="1" applyBorder="1" applyAlignment="1">
      <x:alignment horizontal="center" vertical="center"/>
    </x:xf>
    <x:xf numFmtId="0" fontId="5" fillId="0" borderId="1" xfId="0" applyFont="1" applyFill="1" applyBorder="1" applyAlignment="1">
      <x:alignment horizontal="center" vertical="center" wrapText="1"/>
    </x:xf>
    <x:xf numFmtId="0" fontId="3" fillId="0" borderId="1" xfId="0" applyFont="1" applyFill="1" applyBorder="1" applyAlignment="1">
      <x:alignment horizontal="center" vertical="center" wrapText="1"/>
    </x:xf>
    <x:xf numFmtId="0" fontId="6" fillId="0" borderId="1" xfId="0" applyFont="1" applyFill="1" applyBorder="1" applyAlignment="1">
      <x:alignment horizontal="center" vertical="center" wrapText="1"/>
    </x:xf>
    <x:xf numFmtId="0" fontId="7" fillId="0" borderId="1" xfId="0" applyFont="1" applyFill="1" applyBorder="1" applyAlignment="1">
      <x:alignment horizontal="center" vertical="center" wrapText="1"/>
    </x:xf>
    <x:xf numFmtId="0" fontId="6" fillId="0" borderId="1" xfId="0" applyFont="1" applyFill="1" applyBorder="1" applyAlignment="1">
      <x:alignment horizontal="center" vertical="center"/>
    </x:xf>
    <x:xf numFmtId="58" fontId="3" fillId="0" borderId="1" xfId="0" applyNumberFormat="1" applyFont="1" applyFill="1" applyBorder="1" applyAlignment="1">
      <x:alignment horizontal="left" vertical="center" wrapText="1"/>
    </x:xf>
    <x:xf numFmtId="0" fontId="5" fillId="0" borderId="1" xfId="0" applyFont="1" applyFill="1" applyBorder="1" applyAlignment="1">
      <x:alignment horizontal="left" vertical="center" wrapText="1"/>
    </x:xf>
    <x:xf numFmtId="0" fontId="5" fillId="0" borderId="1" xfId="0" applyFont="1" applyFill="1" applyBorder="1" applyAlignment="1">
      <x:alignment horizontal="left" vertical="center"/>
    </x:xf>
    <x:xf numFmtId="0" fontId="5" fillId="3" borderId="1" xfId="0" applyFont="1" applyFill="1" applyBorder="1" applyAlignment="1">
      <x:alignment horizontal="center" vertical="center"/>
    </x:xf>
    <x:xf numFmtId="58" fontId="3" fillId="0" borderId="2" xfId="0" applyNumberFormat="1" applyFont="1" applyFill="1" applyBorder="1" applyAlignment="1">
      <x:alignment horizontal="left" vertical="center" wrapText="1"/>
    </x:xf>
    <x:xf numFmtId="0" fontId="0" fillId="0" borderId="0" xfId="0" applyFill="1" applyBorder="1" applyAlignment="1">
      <x:alignment horizontal="center" vertical="center"/>
    </x:xf>
    <x:xf numFmtId="0" fontId="0" fillId="0" borderId="0" xfId="0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200" fontId="0" fillId="0" borderId="11" xfId="0" applyNumberFormat="1" applyFont="1" applyFill="1" applyBorder="1" applyAlignment="1">
      <x:alignment vertical="center"/>
    </x:xf>
    <x:xf numFmtId="0" fontId="28" fillId="0" borderId="11" xfId="0" applyNumberFormat="1" applyFont="1" applyFill="1" applyBorder="1" applyAlignment="1">
      <x:alignment vertical="center"/>
    </x:xf>
    <x:xf numFmtId="200" fontId="28" fillId="0" borderId="11" xfId="0" applyNumberFormat="1" applyFont="1" applyFill="1" applyBorder="1" applyAlignment="1">
      <x:alignment vertical="center"/>
    </x:xf>
    <x:xf numFmtId="0" fontId="28" fillId="0" borderId="11" xfId="0" applyNumberFormat="1" applyFont="1" applyFill="1" applyBorder="1" applyAlignment="1">
      <x:alignment vertical="center" wrapText="1"/>
    </x:xf>
    <x:xf numFmtId="200" fontId="28" fillId="0" borderId="11" xfId="0" applyNumberFormat="1" applyFont="1" applyFill="1" applyBorder="1" applyAlignment="1">
      <x:alignment vertical="center" wrapText="1"/>
    </x:xf>
    <x:xf numFmtId="0" fontId="28" fillId="35" borderId="11" xfId="0" applyNumberFormat="1" applyFont="1" applyFill="1" applyBorder="1" applyAlignment="1">
      <x:alignment vertical="center" wrapText="1"/>
    </x:xf>
    <x:xf numFmtId="0" fontId="19" fillId="35" borderId="11" xfId="0" applyNumberFormat="1" applyFont="1" applyFill="1" applyBorder="1" applyAlignment="1">
      <x:alignment vertical="center" wrapText="1"/>
    </x:xf>
    <x:xf numFmtId="0" fontId="19" fillId="35" borderId="11" xfId="0" applyNumberFormat="1" applyFont="1" applyFill="1" applyBorder="1" applyAlignment="1">
      <x:alignment horizontal="center" vertical="center" wrapText="1"/>
    </x:xf>
    <x:xf numFmtId="0" fontId="28" fillId="0" borderId="11" xfId="0" applyNumberFormat="1" applyFont="1" applyFill="1" applyBorder="1" applyAlignment="1">
      <x:alignment horizontal="center" vertical="center" wrapText="1"/>
    </x:xf>
    <x:xf numFmtId="200" fontId="28" fillId="0" borderId="11" xfId="0" applyNumberFormat="1" applyFont="1" applyFill="1" applyBorder="1" applyAlignment="1">
      <x:alignment horizontal="center" vertical="center" wrapText="1"/>
    </x:xf>
    <x:xf numFmtId="0" fontId="28" fillId="0" borderId="11" xfId="0" applyNumberFormat="1" applyFont="1" applyFill="1" applyBorder="1" applyAlignment="1">
      <x:alignment horizontal="left" vertical="center" wrapText="1"/>
    </x:xf>
    <x:xf numFmtId="0" fontId="28" fillId="36" borderId="11" xfId="0" applyNumberFormat="1" applyFont="1" applyFill="1" applyBorder="1" applyAlignment="1">
      <x:alignment horizontal="left" vertical="center" wrapText="1"/>
    </x:xf>
    <x:xf numFmtId="0" fontId="28" fillId="37" borderId="11" xfId="0" applyNumberFormat="1" applyFont="1" applyFill="1" applyBorder="1" applyAlignment="1">
      <x:alignment horizontal="center" vertical="center" wrapText="1"/>
    </x:xf>
    <x:xf numFmtId="0" fontId="28" fillId="37" borderId="11" xfId="0" applyNumberFormat="1" applyFont="1" applyFill="1" applyBorder="1" applyAlignment="1">
      <x:alignment vertical="center" wrapText="1"/>
    </x:xf>
    <x:xf numFmtId="0" fontId="29" fillId="37" borderId="11" xfId="0" applyNumberFormat="1" applyFont="1" applyFill="1" applyBorder="1" applyAlignment="1">
      <x:alignment horizontal="center" vertical="center" wrapText="1"/>
    </x:xf>
    <x:xf numFmtId="0" fontId="29" fillId="37" borderId="11" xfId="0" applyNumberFormat="1" applyFont="1" applyFill="1" applyBorder="1" applyAlignment="1">
      <x:alignment vertical="center" wrapText="1"/>
    </x:xf>
    <x:xf numFmtId="0" fontId="28" fillId="38" borderId="11" xfId="0" applyNumberFormat="1" applyFont="1" applyFill="1" applyBorder="1" applyAlignment="1">
      <x:alignment horizontal="left" vertical="center" wrapText="1"/>
    </x:xf>
    <x:xf numFmtId="0" fontId="28" fillId="39" borderId="11" xfId="0" applyNumberFormat="1" applyFont="1" applyFill="1" applyBorder="1" applyAlignment="1">
      <x:alignment horizontal="left" vertical="center" wrapText="1"/>
    </x:xf>
    <x:xf numFmtId="0" fontId="28" fillId="38" borderId="11" xfId="0" applyNumberFormat="1" applyFont="1" applyFill="1" applyBorder="1" applyAlignment="1">
      <x:alignment vertical="center" wrapText="1"/>
    </x:xf>
    <x:xf numFmtId="0" fontId="29" fillId="38" borderId="11" xfId="0" applyNumberFormat="1" applyFont="1" applyFill="1" applyBorder="1" applyAlignment="1">
      <x:alignment vertical="center" wrapText="1"/>
    </x:xf>
    <x:xf numFmtId="0" fontId="28" fillId="40" borderId="11" xfId="0" applyNumberFormat="1" applyFont="1" applyFill="1" applyBorder="1" applyAlignment="1">
      <x:alignment vertical="center" wrapText="1"/>
    </x:xf>
    <x:xf numFmtId="0" fontId="19" fillId="40" borderId="11" xfId="0" applyNumberFormat="1" applyFont="1" applyFill="1" applyBorder="1" applyAlignment="1">
      <x:alignment vertical="center" wrapText="1"/>
    </x:xf>
    <x:xf numFmtId="0" fontId="19" fillId="40" borderId="11" xfId="0" applyNumberFormat="1" applyFont="1" applyFill="1" applyBorder="1" applyAlignment="1">
      <x:alignment horizontal="center" vertical="center" wrapText="1"/>
    </x:xf>
    <x:xf numFmtId="0" fontId="28" fillId="0" borderId="11" xfId="0" applyNumberFormat="1" applyFont="1" applyFill="1" applyBorder="1" applyAlignment="1">
      <x:alignment horizontal="center" vertical="center"/>
    </x:xf>
    <x:xf numFmtId="0" fontId="28" fillId="0" borderId="11" xfId="0" applyNumberFormat="1" applyFont="1" applyFill="1" applyBorder="1" applyAlignment="1">
      <x:alignment horizontal="left" vertical="center"/>
    </x:xf>
    <x:xf numFmtId="201" fontId="28" fillId="0" borderId="11" xfId="0" applyNumberFormat="1" applyFont="1" applyFill="1" applyBorder="1" applyAlignment="1">
      <x:alignment horizontal="center" vertical="center" wrapText="1"/>
    </x:xf>
    <x:xf numFmtId="201" fontId="28" fillId="0" borderId="11" xfId="0" applyNumberFormat="1" applyFont="1" applyFill="1" applyBorder="1" applyAlignment="1">
      <x:alignment horizontal="center" vertical="center"/>
    </x:xf>
    <x:xf numFmtId="202" fontId="28" fillId="0" borderId="11" xfId="0" applyNumberFormat="1" applyFont="1" applyFill="1" applyBorder="1" applyAlignment="1">
      <x:alignment horizontal="center" vertical="center" wrapText="1"/>
    </x:xf>
    <x:xf numFmtId="202" fontId="28" fillId="0" borderId="11" xfId="0" applyNumberFormat="1" applyFont="1" applyFill="1" applyBorder="1" applyAlignment="1">
      <x:alignment horizontal="center" vertical="center"/>
    </x:xf>
    <x:xf numFmtId="202" fontId="29" fillId="38" borderId="11" xfId="0" applyNumberFormat="1" applyFont="1" applyFill="1" applyBorder="1" applyAlignment="1">
      <x:alignment vertical="center" wrapText="1"/>
    </x:xf>
    <x:xf numFmtId="203" fontId="28" fillId="0" borderId="11" xfId="0" applyNumberFormat="1" applyFont="1" applyFill="1" applyBorder="1" applyAlignment="1">
      <x:alignment horizontal="center" vertical="center"/>
    </x:xf>
    <x:xf numFmtId="0" fontId="28" fillId="37" borderId="11" xfId="0" applyNumberFormat="1" applyFont="1" applyFill="1" applyBorder="1" applyAlignment="1">
      <x:alignment horizontal="center" vertical="center"/>
    </x:xf>
    <x:xf numFmtId="202" fontId="28" fillId="37" borderId="11" xfId="0" applyNumberFormat="1" applyFont="1" applyFill="1" applyBorder="1" applyAlignment="1">
      <x:alignment horizontal="center" vertical="center"/>
    </x:xf>
    <x:xf numFmtId="0" fontId="29" fillId="37" borderId="11" xfId="0" applyNumberFormat="1" applyFont="1" applyFill="1" applyBorder="1" applyAlignment="1">
      <x:alignment horizontal="center" vertical="center"/>
    </x:xf>
    <x:xf numFmtId="202" fontId="29" fillId="37" borderId="11" xfId="0" applyNumberFormat="1" applyFont="1" applyFill="1" applyBorder="1" applyAlignment="1">
      <x:alignment horizontal="center" vertical="center"/>
    </x:xf>
    <x:xf numFmtId="0" fontId="28" fillId="39" borderId="11" xfId="0" applyNumberFormat="1" applyFont="1" applyFill="1" applyBorder="1" applyAlignment="1">
      <x:alignment vertical="center"/>
    </x:xf>
    <x:xf numFmtId="0" fontId="28" fillId="39" borderId="11" xfId="0" applyNumberFormat="1" applyFont="1" applyFill="1" applyBorder="1" applyAlignment="1">
      <x:alignment horizontal="left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9f5cf74753484c" /><Relationship Type="http://schemas.openxmlformats.org/officeDocument/2006/relationships/theme" Target="/xl/theme/theme1.xml" Id="R025f1c39c7424154" /><Relationship Type="http://schemas.openxmlformats.org/officeDocument/2006/relationships/sharedStrings" Target="/xl/sharedStrings.xml" Id="R58e341ff1da241fb" /><Relationship Type="http://schemas.openxmlformats.org/officeDocument/2006/relationships/worksheet" Target="/xl/worksheets/sheet1.xml" Id="R86c553e537514b0f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.230769157409668" defaultRowHeight="16.799999237060547"/>
  <x:cols>
    <x:col min="1" max="1" width="8" style="1" hidden="0" customWidth="1"/>
    <x:col min="2" max="2" width="9" style="1" hidden="0" customWidth="1"/>
    <x:col min="3" max="3" width="13" style="1" hidden="0" customWidth="1"/>
    <x:col min="4" max="4" width="48" style="1" hidden="0" customWidth="1"/>
    <x:col min="5" max="6" width="17.778846740722656" style="1" customWidth="1"/>
    <x:col min="7" max="7" width="48" style="1" hidden="0" customWidth="1"/>
    <x:col min="8" max="8" width="19" style="1" hidden="0" customWidth="1"/>
    <x:col min="9" max="9" width="34" style="1" hidden="0" customWidth="1"/>
    <x:col min="10" max="10" width="2" style="1" hidden="0" customWidth="1"/>
    <x:col min="11" max="11" width="2" style="1" hidden="0" customWidth="1"/>
    <x:col min="12" max="16384" width="9.230769157409668" style="1" customWidth="0"/>
    <x:col min="5" max="5" width="12" hidden="0" customWidth="1"/>
    <x:col min="6" max="6" width="18" hidden="0" customWidth="1"/>
  </x:cols>
  <x:sheetData>
    <x:row r="1" s="1" customFormat="1" ht="34" customHeight="1">
      <x:c r="A1" s="31" t="str">
        <x:v>天数</x:v>
      </x:c>
      <x:c r="B1" s="31" t="str">
        <x:v>日期</x:v>
      </x:c>
      <x:c r="C1" s="31" t="str">
        <x:v>出发城市</x:v>
      </x:c>
      <x:c r="D1" s="31" t="str">
        <x:v>行程安排</x:v>
      </x:c>
      <x:c r="E1" s="31" t="str">
        <x:v>抵达城市</x:v>
      </x:c>
      <x:c r="F1" s="31" t="str">
        <x:v>公里数</x:v>
      </x:c>
      <x:c r="G1" s="31" t="str">
        <x:v>酒店推荐</x:v>
      </x:c>
      <x:c r="H1" s="31" t="str">
        <x:v>参考价格/间</x:v>
      </x:c>
      <x:c r="I1" s="31" t="str">
        <x:v>星级/档次</x:v>
      </x:c>
      <x:c r="J1"/>
      <x:c r="K1"/>
      <x:c r="L1" s="20"/>
      <x:c r="M1" s="21"/>
      <x:c r="N1" s="21"/>
      <x:c r="O1" s="21"/>
    </x:row>
    <x:row r="2" s="1" customFormat="1" ht="122" customHeight="1">
      <x:c r="A2" s="32" t="str">
        <x:v>D1</x:v>
      </x:c>
      <x:c r="B2" s="33" t="n">
        <x:v>46244</x:v>
      </x:c>
      <x:c r="C2" s="32" t="str">
        <x:v>抵达西宁</x:v>
      </x:c>
      <x:c r="D2" s="34" t="str">
        <x:v>按航班或车次抵达西宁，前往酒店办理入住
下午以休息、取车和补充随车物资为主
时间充裕可在市区散步或就近用餐，为次日环线留足体力</x:v>
      </x:c>
      <x:c r="E2" s="32" t="str"/>
      <x:c r="F2" s="32" t="str">
        <x:v>约 30–80 km
市内接驳</x:v>
      </x:c>
      <x:c r="G2" s="35" t="str">
        <x:v>西宁万枫酒店
  Trip.com 含税总价；含早餐、可免费取消
宜尚酒店（西宁海湖新区万达广场店）
  Trip.com 含税总价；含早餐、可免费取消
普同酒店
  Trip.com 含税总价</x:v>
      </x:c>
      <x:c r="H2" s="32" t="str">
        <x:v>¥468
¥331
¥398</x:v>
      </x:c>
      <x:c r="I2" s="32" t="str">
        <x:v>高档型
舒适型
舒适型</x:v>
      </x:c>
      <x:c r="J2"/>
      <x:c r="K2"/>
      <x:c r="L2" s="20"/>
      <x:c r="M2" s="21"/>
      <x:c r="N2" s="21"/>
      <x:c r="O2" s="21"/>
    </x:row>
    <x:row r="3" s="1" customFormat="1" ht="142" customHeight="1">
      <x:c r="A3" s="32" t="str">
        <x:v>D2</x:v>
      </x:c>
      <x:c r="B3" s="33" t="n">
        <x:v>46245</x:v>
      </x:c>
      <x:c r="C3" s="32" t="str">
        <x:v>西宁</x:v>
      </x:c>
      <x:c r="D3" s="34" t="str">
        <x:v>09:00 西宁出发，经达坂山方向前往门源
门源观景后在峨堡镇一带午餐
下午沿祁连山草原行驶，预计 17:30–18:30 抵达祁连县</x:v>
      </x:c>
      <x:c r="E3" s="32" t="str">
        <x:v>祁连县</x:v>
      </x:c>
      <x:c r="F3" s="32" t="str">
        <x:v>约 280–320 km
约 5–6 h</x:v>
      </x:c>
      <x:c r="G3" s="35" t="str">
        <x:v>喆·非酒店（海北祁连县人民广场店）
  携程指定日期显示有房，公开页需登录查看结算价
丽怡酒店（祁连卓尔山景区店）
  携程同区域房价区间参考
宜必思尚品酒店（祁连卓尔山景区店）
  Trip.com 指定日期暂不可订，可后续观察放房</x:v>
      </x:c>
      <x:c r="H3" s="32" t="str">
        <x:v>约 ¥450–650
约 ¥500–700
暂未放房</x:v>
      </x:c>
      <x:c r="I3" s="32" t="str">
        <x:v>舒适型
舒适型
舒适型</x:v>
      </x:c>
      <x:c r="J3"/>
      <x:c r="K3"/>
      <x:c r="L3" s="20"/>
      <x:c r="M3" s="21"/>
      <x:c r="N3" s="21"/>
      <x:c r="O3" s="21"/>
    </x:row>
    <x:row r="4" s="1" customFormat="1" ht="168" customHeight="1">
      <x:c r="A4" s="32" t="str">
        <x:v>D3</x:v>
      </x:c>
      <x:c r="B4" s="33" t="n">
        <x:v>46246</x:v>
      </x:c>
      <x:c r="C4" s="32" t="str">
        <x:v>祁连县</x:v>
      </x:c>
      <x:c r="D4" s="34" t="str">
        <x:v>09:00 祁连县出发，经默勒草原或刚察方向进入青海湖北岸
沿青海湖北岸、西岸行驶，选择 1–2 处湖边点位停留
在刚察、黑马河或环湖西路一带用餐，预计 19:00–20:00 抵达茶卡</x:v>
      </x:c>
      <x:c r="E4" s="32" t="str">
        <x:v>茶卡</x:v>
      </x:c>
      <x:c r="F4" s="32" t="str">
        <x:v>约 430–480 km
约 7–8 h</x:v>
      </x:c>
      <x:c r="G4" s="35" t="str">
        <x:v>茶卡盐湖天域假日酒店
  Trip.com 含税总价；双床、早餐、可免费取消
柏兰岛酒店
  Trip.com 含税总价；双床、早餐、供氧
茶卡东晨国际酒店
  Trip.com 含税总价
汉庭酒店（茶卡盐湖店）
  Trip.com 含税总价</x:v>
      </x:c>
      <x:c r="H4" s="32" t="str">
        <x:v>¥517
¥739
¥459
¥411</x:v>
      </x:c>
      <x:c r="I4" s="32" t="str">
        <x:v>舒适型
高档型
舒适型
经济型</x:v>
      </x:c>
      <x:c r="J4"/>
      <x:c r="K4"/>
      <x:c r="L4" s="20"/>
      <x:c r="M4" s="21"/>
      <x:c r="N4" s="21"/>
      <x:c r="O4" s="21"/>
    </x:row>
    <x:row r="5" s="1" customFormat="1" ht="150" customHeight="1">
      <x:c r="A5" s="32" t="str">
        <x:v>D4</x:v>
      </x:c>
      <x:c r="B5" s="33" t="n">
        <x:v>46247</x:v>
      </x:c>
      <x:c r="C5" s="32" t="str">
        <x:v>茶卡</x:v>
      </x:c>
      <x:c r="D5" s="34" t="str">
        <x:v>09:00 前往茶卡盐湖，游览约 3 小时
午餐后经德令哈前往大柴旦，中途每约 2 小时休息一次
傍晚到大柴旦翡翠湖看日落，随后入住大柴旦镇</x:v>
      </x:c>
      <x:c r="E5" s="32" t="str">
        <x:v>大柴旦</x:v>
      </x:c>
      <x:c r="F5" s="32" t="str">
        <x:v>约 400–430 km
约 5.5–6 h</x:v>
      </x:c>
      <x:c r="G5" s="35" t="str">
        <x:v>大柴旦丽呈华廷酒店（翡翠步行街店）
  携程指定日期显示有房；供氧、停车、早餐，公开页需登录查看结算价
大柴旦丽呈翠星酒店
  携程同区域房价区间参考
全季酒店（大柴旦翡翠步行街店）
  携程同区域房价区间参考</x:v>
      </x:c>
      <x:c r="H5" s="32" t="str">
        <x:v>约 ¥900–1,300
约 ¥700–1,000
约 ¥750–1,050</x:v>
      </x:c>
      <x:c r="I5" s="32" t="str">
        <x:v>高档型
高档型
舒适型</x:v>
      </x:c>
      <x:c r="J5"/>
      <x:c r="K5"/>
      <x:c r="L5" s="20"/>
      <x:c r="M5" s="21"/>
      <x:c r="N5" s="21"/>
      <x:c r="O5" s="21"/>
    </x:row>
    <x:row r="6" s="1" customFormat="1" ht="154" customHeight="1">
      <x:c r="A6" s="32" t="str">
        <x:v>D5</x:v>
      </x:c>
      <x:c r="B6" s="33" t="n">
        <x:v>46248</x:v>
      </x:c>
      <x:c r="C6" s="32" t="str">
        <x:v>大柴旦</x:v>
      </x:c>
      <x:c r="D6" s="34" t="str">
        <x:v>09:00 大柴旦出发，沿 G315 向西行驶
在合规停车区观看 U 型公路和沿途戈壁景观，不在车道内停留拍照
约 15:00 抵达乌素特水上雅丹，游览至傍晚并在景区周边住宿</x:v>
      </x:c>
      <x:c r="E6" s="32" t="str">
        <x:v>水上雅丹</x:v>
      </x:c>
      <x:c r="F6" s="32" t="str">
        <x:v>约 300–340 km
约 4.5–5 h</x:v>
      </x:c>
      <x:c r="G6" s="35" t="str">
        <x:v>乌素特水上雅丹梦幻星空野奢度假酒店
  Trip.com 同区域含税总价参考
孤独空间（戈壁）野奢酒店
  Trip.com 同区域含税总价参考
乌素特雅丹大酒店（水上雅丹景区店）
  指定日期暂不接受预订，可后续观察放房</x:v>
      </x:c>
      <x:c r="H6" s="32" t="str">
        <x:v>¥486
¥1,397
暂不可订</x:v>
      </x:c>
      <x:c r="I6" s="32" t="str">
        <x:v>特色住宿
野奢营地
景区酒店</x:v>
      </x:c>
      <x:c r="J6"/>
      <x:c r="K6"/>
      <x:c r="L6" s="20"/>
      <x:c r="M6" s="21"/>
      <x:c r="N6" s="21"/>
      <x:c r="O6" s="21"/>
    </x:row>
    <x:row r="7" s="1" customFormat="1" ht="170" customHeight="1">
      <x:c r="A7" s="32" t="str">
        <x:v>D6</x:v>
      </x:c>
      <x:c r="B7" s="33" t="n">
        <x:v>46249</x:v>
      </x:c>
      <x:c r="C7" s="32" t="str">
        <x:v>水上雅丹</x:v>
      </x:c>
      <x:c r="D7" s="34" t="str">
        <x:v>09:00 水上雅丹出发，经雅丹地貌和冷湖方向前往敦煌
冷湖镇午餐、补给和加油，随后前往黑独山开放区域
根据路况控制黑独山停留时间，经阿克塞进入甘肃，预计 20:00–21:00 抵达敦煌</x:v>
      </x:c>
      <x:c r="E7" s="32" t="str">
        <x:v>敦煌</x:v>
      </x:c>
      <x:c r="F7" s="32" t="str">
        <x:v>约 480–520 km
约 7–8 h</x:v>
      </x:c>
      <x:c r="G7" s="35" t="str">
        <x:v>阳光城舒适PLUS酒店（敦煌沙洲夜市店）
  Trip.com 含税总价；双床、可免费取消
敦煌御龙大酒店
  Trip.com 含税总价；双床、早餐、可免费取消
敦煌暮洲·OASIS度假酒店
  Trip.com 含税总价
敦煌白鹿酒店（沙洲市场店）
  Trip.com 含税总价</x:v>
      </x:c>
      <x:c r="H7" s="32" t="str">
        <x:v>¥353
¥303
¥581
¥212</x:v>
      </x:c>
      <x:c r="I7" s="32" t="str">
        <x:v>舒适型
舒适型
度假型
经济型</x:v>
      </x:c>
      <x:c r="J7"/>
      <x:c r="K7"/>
      <x:c r="L7" s="20"/>
      <x:c r="M7" s="21"/>
      <x:c r="N7" s="21"/>
      <x:c r="O7" s="21"/>
    </x:row>
    <x:row r="8" s="1" customFormat="1" ht="132" customHeight="1">
      <x:c r="A8" s="32" t="str">
        <x:v>D7</x:v>
      </x:c>
      <x:c r="B8" s="33" t="n">
        <x:v>46250</x:v>
      </x:c>
      <x:c r="C8" s="32" t="str">
        <x:v>敦煌</x:v>
      </x:c>
      <x:c r="D8" s="34" t="str">
        <x:v>09:00 酒店出发，按实名预约场次游览莫高窟，预留约 4 小时
午餐后回酒店或市区休息
约 16:30 前往鸣沙山月牙泉，傍晚看日落，随后可在沙州夜市用餐</x:v>
      </x:c>
      <x:c r="E8" s="32" t="str"/>
      <x:c r="F8" s="32" t="str">
        <x:v>约 50–70 km
约 1.5 h</x:v>
      </x:c>
      <x:c r="G8" s="35" t="str">
        <x:v>续住前一晚敦煌酒店
  按 8/16–8/17 一晚计算，实际以续住页面为准</x:v>
      </x:c>
      <x:c r="H8" s="32" t="str">
        <x:v>¥212–581</x:v>
      </x:c>
      <x:c r="I8" s="32" t="str">
        <x:v>经济型—度假型</x:v>
      </x:c>
      <x:c r="J8"/>
      <x:c r="K8"/>
      <x:c r="L8" s="20"/>
      <x:c r="M8" s="21"/>
      <x:c r="N8" s="21"/>
      <x:c r="O8" s="21"/>
    </x:row>
    <x:row r="9" s="1" customFormat="1" ht="72" customHeight="1">
      <x:c r="A9" s="38" t="str">
        <x:v>合计</x:v>
      </x:c>
      <x:c r="B9" s="38" t="str">
        <x:v>8/10–8/16</x:v>
      </x:c>
      <x:c r="C9" s="38" t="str">
        <x:v>西宁</x:v>
      </x:c>
      <x:c r="D9" s="39" t="str">
        <x:v>西宁—门源—祁连—青海湖北岸/西岸—茶卡—大柴旦—水上雅丹—冷湖—黑独山—敦煌</x:v>
      </x:c>
      <x:c r="E9" s="38" t="str">
        <x:v>敦煌</x:v>
      </x:c>
      <x:c r="F9" s="38" t="str">
        <x:v>约 2,000–2,200 km</x:v>
      </x:c>
      <x:c r="G9" s="39" t="str">
        <x:v>酒店共 7 晚；按 8 人、4 间房计算</x:v>
      </x:c>
      <x:c r="H9" s="38" t="str">
        <x:v>住宿预算 ¥13,960/团</x:v>
      </x:c>
      <x:c r="I9" s="38" t="str">
        <x:v>人均住宿 ¥1,745</x:v>
      </x:c>
      <x:c r="J9"/>
      <x:c r="K9"/>
      <x:c r="L9" s="20"/>
      <x:c r="M9" s="21"/>
      <x:c r="N9" s="21"/>
      <x:c r="O9" s="21"/>
    </x:row>
    <x:row r="10" s="1" customFormat="1" ht="58" customHeight="1">
      <x:c r="A10" s="40" t="str">
        <x:v>预算说明：按 8 人、2 辆 5 座燃油 SUV、4 间房、7 晚测算，不含往返西宁/敦煌的大交通；详细预算逐项列于下方。</x:v>
      </x:c>
      <x:c r="B10" s="40"/>
      <x:c r="C10" s="40"/>
      <x:c r="D10" s="40"/>
      <x:c r="E10" s="40"/>
      <x:c r="F10" s="40"/>
      <x:c r="G10" s="40"/>
      <x:c r="H10" s="40"/>
      <x:c r="I10" s="40"/>
      <x:c r="J10"/>
      <x:c r="K10"/>
      <x:c r="L10" s="20"/>
      <x:c r="M10" s="21"/>
      <x:c r="N10" s="21"/>
      <x:c r="O10" s="21"/>
    </x:row>
    <x:row r="11" s="1" customFormat="1" ht="124" customHeight="1">
      <x:c r="A11" s="41" t="str">
        <x:v>预订与安全提醒：8 月 10 日为到达日；8 月 11–16 日每天 09:00 出发。 提前确认西宁取车、敦煌异地还车；如租车公司不支持，可改为包车。 莫高窟按实名预约场次安排，预约时间会影响 D7 的具体顺序。 荒漠路段见站加油，提前下载离线地图；G315 不在行车道内停车拍照。 酒店价格查询于 2026 年 7 月 23 日，按 1 间 2 人、对应日期 1 晚整理；预算按 8 人、4 间、7 晚计算，价格和房态以预订页最终结算为准。</x:v>
      </x:c>
      <x:c r="B11" s="41"/>
      <x:c r="C11" s="41"/>
      <x:c r="D11" s="41"/>
      <x:c r="E11" s="41"/>
      <x:c r="F11" s="41"/>
      <x:c r="G11" s="41"/>
      <x:c r="H11" s="41"/>
      <x:c r="I11" s="41"/>
      <x:c r="J11"/>
      <x:c r="K11"/>
      <x:c r="L11" s="20"/>
      <x:c r="M11" s="21"/>
      <x:c r="N11" s="21"/>
      <x:c r="O11" s="21"/>
    </x:row>
    <x:row r="12" s="1" customFormat="1" ht="34" customHeight="1">
      <x:c r="A12" s="30" t="str">
        <x:v>8 人详细费用预算（不含往返大交通）</x:v>
      </x:c>
      <x:c r="B12" s="30"/>
      <x:c r="C12" s="30"/>
      <x:c r="D12" s="30"/>
      <x:c r="E12" s="43" t="str">
        <x:v>团费合计</x:v>
      </x:c>
      <x:c r="F12" s="43"/>
      <x:c r="G12" s="53" t="n">
        <x:f>G48</x:f>
        <x:v>47381</x:v>
      </x:c>
      <x:c r="H12" s="43" t="str">
        <x:v>8 人人均</x:v>
      </x:c>
      <x:c r="I12" s="53" t="n">
        <x:f>H48</x:f>
        <x:v>5923</x:v>
      </x:c>
      <x:c r="J12"/>
      <x:c r="K12"/>
      <x:c r="L12" s="20"/>
      <x:c r="M12" s="21"/>
      <x:c r="N12" s="21"/>
      <x:c r="O12" s="21"/>
    </x:row>
    <x:row r="13" s="1" customFormat="1" ht="30" customHeight="1">
      <x:c r="A13" s="46" t="str">
        <x:v>类别</x:v>
      </x:c>
      <x:c r="B13" s="46" t="str">
        <x:v>费用项目 / 计算口径</x:v>
      </x:c>
      <x:c r="C13" s="46"/>
      <x:c r="D13" s="46"/>
      <x:c r="E13" s="46" t="str">
        <x:v>单价</x:v>
      </x:c>
      <x:c r="F13" s="46" t="str">
        <x:v>数量</x:v>
      </x:c>
      <x:c r="G13" s="46" t="str">
        <x:v>8 人合计</x:v>
      </x:c>
      <x:c r="H13" s="46" t="str">
        <x:v>人均</x:v>
      </x:c>
      <x:c r="I13" s="46" t="str">
        <x:v>来源 / 核验说明</x:v>
      </x:c>
      <x:c r="J13"/>
      <x:c r="K13"/>
      <x:c r="L13" s="20"/>
      <x:c r="M13" s="21"/>
      <x:c r="N13" s="21"/>
      <x:c r="O13" s="21"/>
    </x:row>
    <x:row r="14" s="1" customFormat="1" ht="58" customHeight="1">
      <x:c r="A14" s="32" t="str">
        <x:v>租车及车辆</x:v>
      </x:c>
      <x:c r="B14" s="34" t="str">
        <x:v>SUV 车辆租金
¥450/辆/天 × 2 辆 × 7 天</x:v>
      </x:c>
      <x:c r="C14" s="34"/>
      <x:c r="D14" s="34"/>
      <x:c r="E14" s="49" t="n">
        <x:v>450</x:v>
      </x:c>
      <x:c r="F14" s="32" t="n">
        <x:v>14</x:v>
      </x:c>
      <x:c r="G14" s="51" t="n">
        <x:f>ROUND(E14*F14,0)</x:f>
        <x:v>6300</x:v>
      </x:c>
      <x:c r="H14" s="51" t="n">
        <x:f>ROUND(G14/8,0)</x:f>
        <x:v>788</x:v>
      </x:c>
      <x:c r="I14" s="34" t="str">
        <x:v>一嗨西宁公开车型含哈弗 H6；旺季公开市场基准价，精确价需登录
https://www.1hai.cn/c_xining</x:v>
      </x:c>
      <x:c r="J14"/>
      <x:c r="K14"/>
      <x:c r="L14" s="20"/>
      <x:c r="M14" s="21"/>
      <x:c r="N14" s="21"/>
      <x:c r="O14" s="21"/>
    </x:row>
    <x:row r="15" s="1" customFormat="1" ht="58" customHeight="1">
      <x:c r="A15" s="32" t="str">
        <x:v>租车及车辆</x:v>
      </x:c>
      <x:c r="B15" s="34" t="str">
        <x:v>基础服务费
¥50/辆/天 × 2 辆 × 7 天</x:v>
      </x:c>
      <x:c r="C15" s="34"/>
      <x:c r="D15" s="34"/>
      <x:c r="E15" s="49" t="n">
        <x:v>50</x:v>
      </x:c>
      <x:c r="F15" s="32" t="n">
        <x:v>14</x:v>
      </x:c>
      <x:c r="G15" s="51" t="n">
        <x:f>ROUND(E15*F15,0)</x:f>
        <x:v>700</x:v>
      </x:c>
      <x:c r="H15" s="51" t="n">
        <x:f>ROUND(G15/8,0)</x:f>
        <x:v>88</x:v>
      </x:c>
      <x:c r="I15" s="34" t="str">
        <x:v>主流租车平台下单费用结构的规划值
https://www.zuche.com/</x:v>
      </x:c>
      <x:c r="J15"/>
      <x:c r="K15"/>
      <x:c r="L15" s="21"/>
      <x:c r="M15" s="21"/>
      <x:c r="N15" s="21"/>
      <x:c r="O15" s="21"/>
    </x:row>
    <x:row r="16" s="1" customFormat="1" ht="58" customHeight="1">
      <x:c r="A16" s="32" t="str">
        <x:v>租车及车辆</x:v>
      </x:c>
      <x:c r="B16" s="34" t="str">
        <x:v>增强保障
¥80/辆/天 × 2 辆 × 7 天</x:v>
      </x:c>
      <x:c r="C16" s="34"/>
      <x:c r="D16" s="34"/>
      <x:c r="E16" s="49" t="n">
        <x:v>80</x:v>
      </x:c>
      <x:c r="F16" s="32" t="n">
        <x:v>14</x:v>
      </x:c>
      <x:c r="G16" s="51" t="n">
        <x:f>ROUND(E16*F16,0)</x:f>
        <x:v>1120</x:v>
      </x:c>
      <x:c r="H16" s="51" t="n">
        <x:f>ROUND(G16/8,0)</x:f>
        <x:v>140</x:v>
      </x:c>
      <x:c r="I16" s="34" t="str">
        <x:v>按主流平台增强保障常见水平预留，最终以结算页为准
https://www.zuche.com/</x:v>
      </x:c>
      <x:c r="J16"/>
      <x:c r="K16"/>
      <x:c r="L16" s="21"/>
      <x:c r="M16" s="21"/>
      <x:c r="N16" s="21"/>
      <x:c r="O16" s="21"/>
    </x:row>
    <x:row r="17" ht="58" customHeight="1">
      <x:c r="A17" s="32" t="str">
        <x:v>租车及车辆</x:v>
      </x:c>
      <x:c r="B17" s="34" t="str">
        <x:v>西宁取、敦煌还异地还车费
¥1,000/辆 × 2 辆</x:v>
      </x:c>
      <x:c r="C17" s="34"/>
      <x:c r="D17" s="34"/>
      <x:c r="E17" s="49" t="n">
        <x:v>1000</x:v>
      </x:c>
      <x:c r="F17" s="32" t="n">
        <x:v>2</x:v>
      </x:c>
      <x:c r="G17" s="51" t="n">
        <x:f>ROUND(E17*F17,0)</x:f>
        <x:v>2000</x:v>
      </x:c>
      <x:c r="H17" s="51" t="n">
        <x:f>ROUND(G17/8,0)</x:f>
        <x:v>250</x:v>
      </x:c>
      <x:c r="I17" s="34" t="str">
        <x:v>公开攻略显示约 ¥800–1,200/辆；平台精确报价需登录核验
https://booking.1hai.cn/order/firstStep</x:v>
      </x:c>
    </x:row>
    <x:row r="18" ht="58" customHeight="1">
      <x:c r="A18" s="32" t="str">
        <x:v>租车及车辆</x:v>
      </x:c>
      <x:c r="B18" s="34" t="str">
        <x:v>燃油费
2,100 km/辆 × 9.5 L/100km × 2 辆 = 399 L</x:v>
      </x:c>
      <x:c r="C18" s="34"/>
      <x:c r="D18" s="34"/>
      <x:c r="E18" s="49" t="n">
        <x:v>7.37</x:v>
      </x:c>
      <x:c r="F18" s="32" t="n">
        <x:v>399</x:v>
      </x:c>
      <x:c r="G18" s="51" t="n">
        <x:f>ROUND(E18*F18,0)</x:f>
        <x:v>2941</x:v>
      </x:c>
      <x:c r="H18" s="51" t="n">
        <x:f>ROUND(G18/8,0)</x:f>
        <x:v>368</x:v>
      </x:c>
      <x:c r="I18" s="34" t="str">
        <x:v>2026-07-22 青海 92 号汽油 ¥7.37/L
https://www.autohome.com.cn/oil/630000.html</x:v>
      </x:c>
    </x:row>
    <x:row r="19" ht="58" customHeight="1">
      <x:c r="A19" s="32" t="str">
        <x:v>租车及车辆</x:v>
      </x:c>
      <x:c r="B19" s="34" t="str">
        <x:v>高速及路桥费
¥600/辆 × 2 辆</x:v>
      </x:c>
      <x:c r="C19" s="34"/>
      <x:c r="D19" s="34"/>
      <x:c r="E19" s="49" t="n">
        <x:v>600</x:v>
      </x:c>
      <x:c r="F19" s="32" t="n">
        <x:v>2</x:v>
      </x:c>
      <x:c r="G19" s="51" t="n">
        <x:f>ROUND(E19*F19,0)</x:f>
        <x:v>1200</x:v>
      </x:c>
      <x:c r="H19" s="51" t="n">
        <x:f>ROUND(G19/8,0)</x:f>
        <x:v>150</x:v>
      </x:c>
      <x:c r="I19" s="34" t="str">
        <x:v>按本路线高速占比预留，实际以收费站记录为准</x:v>
      </x:c>
    </x:row>
    <x:row r="20" ht="58" customHeight="1">
      <x:c r="A20" s="32" t="str">
        <x:v>租车及车辆</x:v>
      </x:c>
      <x:c r="B20" s="34" t="str">
        <x:v>停车费
全程两车合计预留</x:v>
      </x:c>
      <x:c r="C20" s="34"/>
      <x:c r="D20" s="34"/>
      <x:c r="E20" s="49" t="n">
        <x:v>200</x:v>
      </x:c>
      <x:c r="F20" s="32" t="n">
        <x:v>1</x:v>
      </x:c>
      <x:c r="G20" s="51" t="n">
        <x:f>ROUND(E20*F20,0)</x:f>
        <x:v>200</x:v>
      </x:c>
      <x:c r="H20" s="51" t="n">
        <x:f>ROUND(G20/8,0)</x:f>
        <x:v>25</x:v>
      </x:c>
      <x:c r="I20" s="34" t="str">
        <x:v>茶卡盐湖等景区及城市停车规划值</x:v>
      </x:c>
    </x:row>
    <x:row r="21" ht="58" customHeight="1">
      <x:c r="A21" s="32" t="str">
        <x:v>酒店</x:v>
      </x:c>
      <x:c r="B21" s="34" t="str">
        <x:v>D1 西宁｜宜尚酒店
¥331/间 × 4 间 × 1 晚</x:v>
      </x:c>
      <x:c r="C21" s="34"/>
      <x:c r="D21" s="34"/>
      <x:c r="E21" s="49" t="n">
        <x:v>331</x:v>
      </x:c>
      <x:c r="F21" s="32" t="n">
        <x:v>4</x:v>
      </x:c>
      <x:c r="G21" s="51" t="n">
        <x:f>ROUND(E21*F21,0)</x:f>
        <x:v>1324</x:v>
      </x:c>
      <x:c r="H21" s="51" t="n">
        <x:f>ROUND(G21/8,0)</x:f>
        <x:v>166</x:v>
      </x:c>
      <x:c r="I21" s="34" t="str">
        <x:v>Trip.com 2026-08-10 含税公开价</x:v>
      </x:c>
    </x:row>
    <x:row r="22" ht="58" customHeight="1">
      <x:c r="A22" s="32" t="str">
        <x:v>酒店</x:v>
      </x:c>
      <x:c r="B22" s="34" t="str">
        <x:v>D2 祁连｜喆·非酒店
¥550/间 × 4 间 × 1 晚</x:v>
      </x:c>
      <x:c r="C22" s="34"/>
      <x:c r="D22" s="34"/>
      <x:c r="E22" s="49" t="n">
        <x:v>550</x:v>
      </x:c>
      <x:c r="F22" s="32" t="n">
        <x:v>4</x:v>
      </x:c>
      <x:c r="G22" s="51" t="n">
        <x:f>ROUND(E22*F22,0)</x:f>
        <x:v>2200</x:v>
      </x:c>
      <x:c r="H22" s="51" t="n">
        <x:f>ROUND(G22/8,0)</x:f>
        <x:v>275</x:v>
      </x:c>
      <x:c r="I22" s="34" t="str">
        <x:v>携程指定日期有房；公开页需登录，取区域规划中值</x:v>
      </x:c>
    </x:row>
    <x:row r="23" ht="58" customHeight="1">
      <x:c r="A23" s="47" t="str">
        <x:v>酒店</x:v>
      </x:c>
      <x:c r="B23" s="48" t="str">
        <x:v>D3 茶卡｜天域假日酒店
¥517/间 × 4 间 × 1 晚</x:v>
      </x:c>
      <x:c r="C23" s="48"/>
      <x:c r="D23" s="48"/>
      <x:c r="E23" s="50" t="n">
        <x:v>517</x:v>
      </x:c>
      <x:c r="F23" s="47" t="n">
        <x:v>4</x:v>
      </x:c>
      <x:c r="G23" s="52" t="n">
        <x:f>ROUND(E23*F23,0)</x:f>
        <x:v>2068</x:v>
      </x:c>
      <x:c r="H23" s="52" t="n">
        <x:f>ROUND(G23/8,0)</x:f>
        <x:v>259</x:v>
      </x:c>
      <x:c r="I23" s="48" t="str">
        <x:v>Trip.com 2026-08-12 含税公开价</x:v>
      </x:c>
    </x:row>
    <x:row r="24" ht="58" customHeight="1">
      <x:c r="A24" s="47" t="str">
        <x:v>酒店</x:v>
      </x:c>
      <x:c r="B24" s="48" t="str">
        <x:v>D4 大柴旦｜丽呈华廷酒店
¥900/间 × 4 间 × 1 晚</x:v>
      </x:c>
      <x:c r="C24" s="48"/>
      <x:c r="D24" s="48"/>
      <x:c r="E24" s="50" t="n">
        <x:v>900</x:v>
      </x:c>
      <x:c r="F24" s="47" t="n">
        <x:v>4</x:v>
      </x:c>
      <x:c r="G24" s="52" t="n">
        <x:f>ROUND(E24*F24,0)</x:f>
        <x:v>3600</x:v>
      </x:c>
      <x:c r="H24" s="52" t="n">
        <x:f>ROUND(G24/8,0)</x:f>
        <x:v>450</x:v>
      </x:c>
      <x:c r="I24" s="48" t="str">
        <x:v>携程指定日期有房；公开页需登录，按规划起始价</x:v>
      </x:c>
    </x:row>
    <x:row r="25" ht="58" customHeight="1">
      <x:c r="A25" s="47" t="str">
        <x:v>酒店</x:v>
      </x:c>
      <x:c r="B25" s="48" t="str">
        <x:v>D5 水上雅丹｜梦幻星空野奢酒店
¥486/间 × 4 间 × 1 晚</x:v>
      </x:c>
      <x:c r="C25" s="48"/>
      <x:c r="D25" s="48"/>
      <x:c r="E25" s="50" t="n">
        <x:v>486</x:v>
      </x:c>
      <x:c r="F25" s="47" t="n">
        <x:v>4</x:v>
      </x:c>
      <x:c r="G25" s="52" t="n">
        <x:f>ROUND(E25*F25,0)</x:f>
        <x:v>1944</x:v>
      </x:c>
      <x:c r="H25" s="52" t="n">
        <x:f>ROUND(G25/8,0)</x:f>
        <x:v>243</x:v>
      </x:c>
      <x:c r="I25" s="48" t="str">
        <x:v>Trip.com 同区域含税公开价参考</x:v>
      </x:c>
    </x:row>
    <x:row r="26" ht="58" customHeight="1">
      <x:c r="A26" s="47" t="str">
        <x:v>酒店</x:v>
      </x:c>
      <x:c r="B26" s="48" t="str">
        <x:v>D6 敦煌｜阳光城舒适 PLUS
¥353/间 × 4 间 × 1 晚</x:v>
      </x:c>
      <x:c r="C26" s="48"/>
      <x:c r="D26" s="48"/>
      <x:c r="E26" s="50" t="n">
        <x:v>353</x:v>
      </x:c>
      <x:c r="F26" s="47" t="n">
        <x:v>4</x:v>
      </x:c>
      <x:c r="G26" s="52" t="n">
        <x:f>ROUND(E26*F26,0)</x:f>
        <x:v>1412</x:v>
      </x:c>
      <x:c r="H26" s="52" t="n">
        <x:f>ROUND(G26/8,0)</x:f>
        <x:v>177</x:v>
      </x:c>
      <x:c r="I26" s="48" t="str">
        <x:v>Trip.com 2026-08-15 含税公开价</x:v>
      </x:c>
    </x:row>
    <x:row r="27" ht="58" customHeight="1">
      <x:c r="A27" s="47" t="str">
        <x:v>酒店</x:v>
      </x:c>
      <x:c r="B27" s="48" t="str">
        <x:v>D7 敦煌续住｜阳光城舒适 PLUS
¥353/间 × 4 间 × 1 晚</x:v>
      </x:c>
      <x:c r="C27" s="48"/>
      <x:c r="D27" s="48"/>
      <x:c r="E27" s="50" t="n">
        <x:v>353</x:v>
      </x:c>
      <x:c r="F27" s="47" t="n">
        <x:v>4</x:v>
      </x:c>
      <x:c r="G27" s="52" t="n">
        <x:f>ROUND(E27*F27,0)</x:f>
        <x:v>1412</x:v>
      </x:c>
      <x:c r="H27" s="52" t="n">
        <x:f>ROUND(G27/8,0)</x:f>
        <x:v>177</x:v>
      </x:c>
      <x:c r="I27" s="48" t="str">
        <x:v>按同酒店续住一晚测算</x:v>
      </x:c>
    </x:row>
    <x:row r="28" ht="58" customHeight="1">
      <x:c r="A28" s="47" t="str">
        <x:v>门票及景交</x:v>
      </x:c>
      <x:c r="B28" s="48" t="str">
        <x:v>门源沿途观景
免费公路沿途观景 × 8 人</x:v>
      </x:c>
      <x:c r="C28" s="48"/>
      <x:c r="D28" s="48"/>
      <x:c r="E28" s="50" t="n">
        <x:v>0</x:v>
      </x:c>
      <x:c r="F28" s="47" t="n">
        <x:v>8</x:v>
      </x:c>
      <x:c r="G28" s="52" t="n">
        <x:f>ROUND(E28*F28,0)</x:f>
        <x:v>0</x:v>
      </x:c>
      <x:c r="H28" s="52" t="n">
        <x:f>ROUND(G28/8,0)</x:f>
        <x:v>0</x:v>
      </x:c>
      <x:c r="I28" s="48" t="str">
        <x:v>路线停留点，不进入另收费景区</x:v>
      </x:c>
    </x:row>
    <x:row r="29" ht="58" customHeight="1">
      <x:c r="A29" s="47" t="str">
        <x:v>门票及景交</x:v>
      </x:c>
      <x:c r="B29" s="48" t="str">
        <x:v>祁连山草原
免费沿途观景 × 8 人</x:v>
      </x:c>
      <x:c r="C29" s="48"/>
      <x:c r="D29" s="48"/>
      <x:c r="E29" s="50" t="n">
        <x:v>0</x:v>
      </x:c>
      <x:c r="F29" s="47" t="n">
        <x:v>8</x:v>
      </x:c>
      <x:c r="G29" s="52" t="n">
        <x:f>ROUND(E29*F29,0)</x:f>
        <x:v>0</x:v>
      </x:c>
      <x:c r="H29" s="52" t="n">
        <x:f>ROUND(G29/8,0)</x:f>
        <x:v>0</x:v>
      </x:c>
      <x:c r="I29" s="48" t="str">
        <x:v>本行程为沿途草原观景</x:v>
      </x:c>
    </x:row>
    <x:row r="30" ht="58" customHeight="1">
      <x:c r="A30" s="47" t="str">
        <x:v>门票及景交</x:v>
      </x:c>
      <x:c r="B30" s="48" t="str">
        <x:v>青海湖北岸/西岸公路观景
不进入二郎剑等收费景区 × 8 人</x:v>
      </x:c>
      <x:c r="C30" s="48"/>
      <x:c r="D30" s="48"/>
      <x:c r="E30" s="50" t="n">
        <x:v>0</x:v>
      </x:c>
      <x:c r="F30" s="47" t="n">
        <x:v>8</x:v>
      </x:c>
      <x:c r="G30" s="52" t="n">
        <x:f>ROUND(E30*F30,0)</x:f>
        <x:v>0</x:v>
      </x:c>
      <x:c r="H30" s="52" t="n">
        <x:f>ROUND(G30/8,0)</x:f>
        <x:v>0</x:v>
      </x:c>
      <x:c r="I30" s="48" t="str">
        <x:v>按当前路线规划</x:v>
      </x:c>
    </x:row>
    <x:row r="31" ht="58" customHeight="1">
      <x:c r="A31" s="47" t="str">
        <x:v>门票及景交</x:v>
      </x:c>
      <x:c r="B31" s="48" t="str">
        <x:v>茶卡盐湖门票
¥60/人 × 8 人</x:v>
      </x:c>
      <x:c r="C31" s="48"/>
      <x:c r="D31" s="48"/>
      <x:c r="E31" s="50" t="n">
        <x:v>60</x:v>
      </x:c>
      <x:c r="F31" s="47" t="n">
        <x:v>8</x:v>
      </x:c>
      <x:c r="G31" s="52" t="n">
        <x:f>ROUND(E31*F31,0)</x:f>
        <x:v>480</x:v>
      </x:c>
      <x:c r="H31" s="52" t="n">
        <x:f>ROUND(G31/8,0)</x:f>
        <x:v>60</x:v>
      </x:c>
      <x:c r="I31" s="48" t="str">
        <x:v>2026 旺季全价票
https://www.chakasl.com/pc/introduction/zeme/detail/1051.html</x:v>
      </x:c>
    </x:row>
    <x:row r="32" ht="58" customHeight="1">
      <x:c r="A32" s="47" t="str">
        <x:v>门票及景交</x:v>
      </x:c>
      <x:c r="B32" s="48" t="str">
        <x:v>茶卡盐湖集散中心摆渡车
往返 ¥30/人 × 8 人</x:v>
      </x:c>
      <x:c r="C32" s="48"/>
      <x:c r="D32" s="48"/>
      <x:c r="E32" s="50" t="n">
        <x:v>30</x:v>
      </x:c>
      <x:c r="F32" s="47" t="n">
        <x:v>8</x:v>
      </x:c>
      <x:c r="G32" s="52" t="n">
        <x:f>ROUND(E32*F32,0)</x:f>
        <x:v>240</x:v>
      </x:c>
      <x:c r="H32" s="52" t="n">
        <x:f>ROUND(G32/8,0)</x:f>
        <x:v>30</x:v>
      </x:c>
      <x:c r="I32" s="48" t="str">
        <x:v>景区官网公开价
https://www.chakasl.com/pc/introduction/zeme/detail/1051.html</x:v>
      </x:c>
    </x:row>
    <x:row r="33" ht="58" customHeight="1">
      <x:c r="A33" s="47" t="str">
        <x:v>门票及景交</x:v>
      </x:c>
      <x:c r="B33" s="48" t="str">
        <x:v>茶卡盐湖小火车
往返 ¥100/人 × 8 人</x:v>
      </x:c>
      <x:c r="C33" s="48"/>
      <x:c r="D33" s="48"/>
      <x:c r="E33" s="50" t="n">
        <x:v>100</x:v>
      </x:c>
      <x:c r="F33" s="47" t="n">
        <x:v>8</x:v>
      </x:c>
      <x:c r="G33" s="52" t="n">
        <x:f>ROUND(E33*F33,0)</x:f>
        <x:v>800</x:v>
      </x:c>
      <x:c r="H33" s="52" t="n">
        <x:f>ROUND(G33/8,0)</x:f>
        <x:v>100</x:v>
      </x:c>
      <x:c r="I33" s="48" t="str">
        <x:v>景区官网公开价；如只乘单程可减 ¥50/人
https://www.chakasl.com/pc/introduction/zeme/detail/1051.html</x:v>
      </x:c>
    </x:row>
    <x:row r="34" ht="58" customHeight="1">
      <x:c r="A34" s="47" t="str">
        <x:v>门票及景交</x:v>
      </x:c>
      <x:c r="B34" s="48" t="str">
        <x:v>大柴旦翡翠湖门票
¥50/人 × 8 人</x:v>
      </x:c>
      <x:c r="C34" s="48"/>
      <x:c r="D34" s="48"/>
      <x:c r="E34" s="50" t="n">
        <x:v>50</x:v>
      </x:c>
      <x:c r="F34" s="47" t="n">
        <x:v>8</x:v>
      </x:c>
      <x:c r="G34" s="52" t="n">
        <x:f>ROUND(E34*F34,0)</x:f>
        <x:v>400</x:v>
      </x:c>
      <x:c r="H34" s="52" t="n">
        <x:f>ROUND(G34/8,0)</x:f>
        <x:v>50</x:v>
      </x:c>
      <x:c r="I34" s="48" t="str">
        <x:v>2026 旺季公开价
https://gs.ctrip.com/html5/you/sight/haixiprefecture120012/4331367.html</x:v>
      </x:c>
    </x:row>
    <x:row r="35" ht="58" customHeight="1">
      <x:c r="A35" s="47" t="str">
        <x:v>门票及景交</x:v>
      </x:c>
      <x:c r="B35" s="48" t="str">
        <x:v>大柴旦翡翠湖观光小火车
¥60/人 × 8 人</x:v>
      </x:c>
      <x:c r="C35" s="48"/>
      <x:c r="D35" s="48"/>
      <x:c r="E35" s="50" t="n">
        <x:v>60</x:v>
      </x:c>
      <x:c r="F35" s="47" t="n">
        <x:v>8</x:v>
      </x:c>
      <x:c r="G35" s="52" t="n">
        <x:f>ROUND(E35*F35,0)</x:f>
        <x:v>480</x:v>
      </x:c>
      <x:c r="H35" s="52" t="n">
        <x:f>ROUND(G35/8,0)</x:f>
        <x:v>60</x:v>
      </x:c>
      <x:c r="I35" s="48" t="str">
        <x:v>2026 公开价
https://gs.ctrip.com/html5/you/sight/haixiprefecture120012/4331367.html</x:v>
      </x:c>
    </x:row>
    <x:row r="36" ht="58" customHeight="1">
      <x:c r="A36" s="47" t="str">
        <x:v>门票及景交</x:v>
      </x:c>
      <x:c r="B36" s="48" t="str">
        <x:v>G315 U 型公路
免费公路观景 × 8 人</x:v>
      </x:c>
      <x:c r="C36" s="48"/>
      <x:c r="D36" s="48"/>
      <x:c r="E36" s="50" t="n">
        <x:v>0</x:v>
      </x:c>
      <x:c r="F36" s="47" t="n">
        <x:v>8</x:v>
      </x:c>
      <x:c r="G36" s="52" t="n">
        <x:f>ROUND(E36*F36,0)</x:f>
        <x:v>0</x:v>
      </x:c>
      <x:c r="H36" s="52" t="n">
        <x:f>ROUND(G36/8,0)</x:f>
        <x:v>0</x:v>
      </x:c>
      <x:c r="I36" s="48" t="str">
        <x:v>仅在合规停车区停留</x:v>
      </x:c>
    </x:row>
    <x:row r="37" ht="58" customHeight="1">
      <x:c r="A37" s="47" t="str">
        <x:v>门票及景交</x:v>
      </x:c>
      <x:c r="B37" s="48" t="str">
        <x:v>乌素特水上雅丹门票
¥60/人 × 8 人</x:v>
      </x:c>
      <x:c r="C37" s="48"/>
      <x:c r="D37" s="48"/>
      <x:c r="E37" s="50" t="n">
        <x:v>60</x:v>
      </x:c>
      <x:c r="F37" s="47" t="n">
        <x:v>8</x:v>
      </x:c>
      <x:c r="G37" s="52" t="n">
        <x:f>ROUND(E37*F37,0)</x:f>
        <x:v>480</x:v>
      </x:c>
      <x:c r="H37" s="52" t="n">
        <x:f>ROUND(G37/8,0)</x:f>
        <x:v>60</x:v>
      </x:c>
      <x:c r="I37" s="48" t="str">
        <x:v>景区官网公开价
https://www.wusuteyadan.com/list/ticket.html</x:v>
      </x:c>
    </x:row>
    <x:row r="38" ht="58" customHeight="1">
      <x:c r="A38" s="47" t="str">
        <x:v>门票及景交</x:v>
      </x:c>
      <x:c r="B38" s="48" t="str">
        <x:v>乌素特水上雅丹观光车
往返 ¥60/人 × 8 人</x:v>
      </x:c>
      <x:c r="C38" s="48"/>
      <x:c r="D38" s="48"/>
      <x:c r="E38" s="50" t="n">
        <x:v>60</x:v>
      </x:c>
      <x:c r="F38" s="47" t="n">
        <x:v>8</x:v>
      </x:c>
      <x:c r="G38" s="52" t="n">
        <x:f>ROUND(E38*F38,0)</x:f>
        <x:v>480</x:v>
      </x:c>
      <x:c r="H38" s="52" t="n">
        <x:f>ROUND(G38/8,0)</x:f>
        <x:v>60</x:v>
      </x:c>
      <x:c r="I38" s="48" t="str">
        <x:v>景区官网公开价
https://www.wusuteyadan.com/list/ticket.html</x:v>
      </x:c>
    </x:row>
    <x:row r="39" ht="58" customHeight="1">
      <x:c r="A39" s="47" t="str">
        <x:v>门票及景交</x:v>
      </x:c>
      <x:c r="B39" s="48" t="str">
        <x:v>冷湖/黑独山开放区域
免费开放区域 × 8 人</x:v>
      </x:c>
      <x:c r="C39" s="48"/>
      <x:c r="D39" s="48"/>
      <x:c r="E39" s="50" t="n">
        <x:v>0</x:v>
      </x:c>
      <x:c r="F39" s="47" t="n">
        <x:v>8</x:v>
      </x:c>
      <x:c r="G39" s="52" t="n">
        <x:f>ROUND(E39*F39,0)</x:f>
        <x:v>0</x:v>
      </x:c>
      <x:c r="H39" s="52" t="n">
        <x:f>ROUND(G39/8,0)</x:f>
        <x:v>0</x:v>
      </x:c>
      <x:c r="I39" s="48" t="str">
        <x:v>不含当地临时管控或商业接驳</x:v>
      </x:c>
    </x:row>
    <x:row r="40" ht="58" customHeight="1">
      <x:c r="A40" s="47" t="str">
        <x:v>门票及景交</x:v>
      </x:c>
      <x:c r="B40" s="48" t="str">
        <x:v>莫高窟 A 类常规票
¥238/人 × 8 人</x:v>
      </x:c>
      <x:c r="C40" s="48"/>
      <x:c r="D40" s="48"/>
      <x:c r="E40" s="50" t="n">
        <x:v>238</x:v>
      </x:c>
      <x:c r="F40" s="47" t="n">
        <x:v>8</x:v>
      </x:c>
      <x:c r="G40" s="52" t="n">
        <x:f>ROUND(E40*F40,0)</x:f>
        <x:v>1904</x:v>
      </x:c>
      <x:c r="H40" s="52" t="n">
        <x:f>ROUND(G40/8,0)</x:f>
        <x:v>238</x:v>
      </x:c>
      <x:c r="I40" s="48" t="str">
        <x:v>2026 旺季 A 类票；含数字电影、8 个洞窟、讲解和往返摆渡
https://www.dunhuangcaves.org/skxl/mgk.htm</x:v>
      </x:c>
    </x:row>
    <x:row r="41" ht="58" customHeight="1">
      <x:c r="A41" s="47" t="str">
        <x:v>门票及景交</x:v>
      </x:c>
      <x:c r="B41" s="48" t="str">
        <x:v>鸣沙山月牙泉门票
¥110/人 × 8 人</x:v>
      </x:c>
      <x:c r="C41" s="48"/>
      <x:c r="D41" s="48"/>
      <x:c r="E41" s="50" t="n">
        <x:v>110</x:v>
      </x:c>
      <x:c r="F41" s="47" t="n">
        <x:v>8</x:v>
      </x:c>
      <x:c r="G41" s="52" t="n">
        <x:f>ROUND(E41*F41,0)</x:f>
        <x:v>880</x:v>
      </x:c>
      <x:c r="H41" s="52" t="n">
        <x:f>ROUND(G41/8,0)</x:f>
        <x:v>110</x:v>
      </x:c>
      <x:c r="I41" s="48" t="str">
        <x:v>2026 公开平台票价；骑骆驼等项目不计入基础预算
https://gs.ctrip.com/html5/you/sight/dunhuang8/1563.html</x:v>
      </x:c>
    </x:row>
    <x:row r="42" ht="58" customHeight="1">
      <x:c r="A42" s="47" t="str">
        <x:v>餐饮</x:v>
      </x:c>
      <x:c r="B42" s="48" t="str">
        <x:v>早餐补充
¥20/人/天 × 8 人 × 7 天</x:v>
      </x:c>
      <x:c r="C42" s="48"/>
      <x:c r="D42" s="48"/>
      <x:c r="E42" s="50" t="n">
        <x:v>20</x:v>
      </x:c>
      <x:c r="F42" s="47" t="n">
        <x:v>56</x:v>
      </x:c>
      <x:c r="G42" s="52" t="n">
        <x:f>ROUND(E42*F42,0)</x:f>
        <x:v>1120</x:v>
      </x:c>
      <x:c r="H42" s="52" t="n">
        <x:f>ROUND(G42/8,0)</x:f>
        <x:v>140</x:v>
      </x:c>
      <x:c r="I42" s="48" t="str">
        <x:v>部分酒店含早，按全程保守预留</x:v>
      </x:c>
    </x:row>
    <x:row r="43" ht="58" customHeight="1">
      <x:c r="A43" s="47" t="str">
        <x:v>餐饮</x:v>
      </x:c>
      <x:c r="B43" s="48" t="str">
        <x:v>午餐
¥50/人/天 × 8 人 × 7 天</x:v>
      </x:c>
      <x:c r="C43" s="48"/>
      <x:c r="D43" s="48"/>
      <x:c r="E43" s="50" t="n">
        <x:v>50</x:v>
      </x:c>
      <x:c r="F43" s="47" t="n">
        <x:v>56</x:v>
      </x:c>
      <x:c r="G43" s="52" t="n">
        <x:f>ROUND(E43*F43,0)</x:f>
        <x:v>2800</x:v>
      </x:c>
      <x:c r="H43" s="52" t="n">
        <x:f>ROUND(G43/8,0)</x:f>
        <x:v>350</x:v>
      </x:c>
      <x:c r="I43" s="48" t="str">
        <x:v>西北公路餐饮规划值</x:v>
      </x:c>
    </x:row>
    <x:row r="44" ht="58" customHeight="1">
      <x:c r="A44" s="47" t="str">
        <x:v>餐饮</x:v>
      </x:c>
      <x:c r="B44" s="48" t="str">
        <x:v>晚餐
¥70/人/天 × 8 人 × 7 天</x:v>
      </x:c>
      <x:c r="C44" s="48"/>
      <x:c r="D44" s="48"/>
      <x:c r="E44" s="50" t="n">
        <x:v>70</x:v>
      </x:c>
      <x:c r="F44" s="47" t="n">
        <x:v>56</x:v>
      </x:c>
      <x:c r="G44" s="52" t="n">
        <x:f>ROUND(E44*F44,0)</x:f>
        <x:v>3920</x:v>
      </x:c>
      <x:c r="H44" s="52" t="n">
        <x:f>ROUND(G44/8,0)</x:f>
        <x:v>490</x:v>
      </x:c>
      <x:c r="I44" s="48" t="str">
        <x:v>西北城市及景区周边餐饮规划值</x:v>
      </x:c>
    </x:row>
    <x:row r="45" ht="58" customHeight="1">
      <x:c r="A45" s="47" t="str">
        <x:v>餐饮</x:v>
      </x:c>
      <x:c r="B45" s="48" t="str">
        <x:v>饮水及零食
¥20/人/天 × 8 人 × 7 天</x:v>
      </x:c>
      <x:c r="C45" s="48"/>
      <x:c r="D45" s="48"/>
      <x:c r="E45" s="50" t="n">
        <x:v>20</x:v>
      </x:c>
      <x:c r="F45" s="47" t="n">
        <x:v>56</x:v>
      </x:c>
      <x:c r="G45" s="52" t="n">
        <x:f>ROUND(E45*F45,0)</x:f>
        <x:v>1120</x:v>
      </x:c>
      <x:c r="H45" s="52" t="n">
        <x:f>ROUND(G45/8,0)</x:f>
        <x:v>140</x:v>
      </x:c>
      <x:c r="I45" s="48" t="str">
        <x:v>长途驾驶补给预留</x:v>
      </x:c>
    </x:row>
    <x:row r="46" ht="58" customHeight="1">
      <x:c r="A46" s="47" t="str">
        <x:v>物资及机动</x:v>
      </x:c>
      <x:c r="B46" s="48" t="str">
        <x:v>氧气、常用药和应急用品
¥200/人 × 8 人</x:v>
      </x:c>
      <x:c r="C46" s="48"/>
      <x:c r="D46" s="48"/>
      <x:c r="E46" s="50" t="n">
        <x:v>200</x:v>
      </x:c>
      <x:c r="F46" s="47" t="n">
        <x:v>8</x:v>
      </x:c>
      <x:c r="G46" s="52" t="n">
        <x:f>ROUND(E46*F46,0)</x:f>
        <x:v>1600</x:v>
      </x:c>
      <x:c r="H46" s="52" t="n">
        <x:f>ROUND(G46/8,0)</x:f>
        <x:v>200</x:v>
      </x:c>
      <x:c r="I46" s="48" t="str">
        <x:v>高原及荒漠路段随车物资预留</x:v>
      </x:c>
    </x:row>
    <x:row r="47" ht="58" customHeight="1">
      <x:c r="A47" s="47" t="str">
        <x:v>物资及机动</x:v>
      </x:c>
      <x:c r="B47" s="48" t="str">
        <x:v>机动金
上述费用小计的约 5%</x:v>
      </x:c>
      <x:c r="C47" s="48"/>
      <x:c r="D47" s="48"/>
      <x:c r="E47" s="54" t="n">
        <x:v>0.05</x:v>
      </x:c>
      <x:c r="F47" s="47" t="n">
        <x:v>1</x:v>
      </x:c>
      <x:c r="G47" s="52" t="n">
        <x:f>ROUND(SUM(G14:G46)*E47,0)</x:f>
        <x:v>2256</x:v>
      </x:c>
      <x:c r="H47" s="52" t="n">
        <x:f>ROUND(G47/8,0)</x:f>
        <x:v>282</x:v>
      </x:c>
      <x:c r="I47" s="48" t="str">
        <x:v>用于价格波动、临时补给和小额改签</x:v>
      </x:c>
    </x:row>
    <x:row r="48" ht="42" customHeight="1">
      <x:c r="A48" s="57" t="str">
        <x:v>费用合计</x:v>
      </x:c>
      <x:c r="B48" s="57" t="str">
        <x:v>合计</x:v>
      </x:c>
      <x:c r="C48" s="57"/>
      <x:c r="D48" s="57"/>
      <x:c r="E48" s="57"/>
      <x:c r="F48" s="57"/>
      <x:c r="G48" s="58" t="n">
        <x:f>SUM(G14:G47)</x:f>
        <x:v>47381</x:v>
      </x:c>
      <x:c r="H48" s="58" t="n">
        <x:f>ROUND(G48/8,0)</x:f>
        <x:v>5923</x:v>
      </x:c>
      <x:c r="I48" s="57" t="str">
        <x:v>按 8 人测算</x:v>
      </x:c>
    </x:row>
    <x:row r="49" ht="64" customHeight="1">
      <x:c r="A49" s="60" t="str">
        <x:v>不含项目：不含往返西宁/敦煌的大交通、个人购物、单房差及未列明的自选娱乐项目。租车与异地还车费必须在下单前以平台结算页重新核验。 自选项目（未计入）：鸣沙山骑骆驼、滑沙、越野车等自选项目、莫高窟特窟票、茶卡盐湖游船、观光塔等自选项目。</x:v>
      </x:c>
      <x:c r="B49" s="60"/>
      <x:c r="C49" s="60"/>
      <x:c r="D49" s="60"/>
      <x:c r="E49" s="60"/>
      <x:c r="F49" s="60"/>
      <x:c r="G49" s="60"/>
      <x:c r="H49" s="60"/>
      <x:c r="I49" s="60"/>
    </x:row>
    <x:row r="50" ht="2" customHeight="1"/>
    <x:row r="51" ht="2" customHeight="1"/>
    <x:row r="52" ht="2" customHeight="1"/>
    <x:row r="53" ht="2" customHeight="1"/>
    <x:row r="54" ht="2" customHeight="1"/>
    <x:row r="55" ht="2" customHeight="1"/>
    <x:row r="56" ht="2" customHeight="1"/>
    <x:row r="57" ht="2" customHeight="1"/>
    <x:row r="58" ht="2" customHeight="1"/>
    <x:row r="59" ht="2" customHeight="1"/>
    <x:row r="60" ht="2" customHeight="1"/>
  </x:sheetData>
  <x:mergeCells>
    <x:mergeCell ref="I1:J1"/>
    <x:mergeCell ref="A10:I10"/>
    <x:mergeCell ref="A11:I11"/>
    <x:mergeCell ref="A12:D12"/>
    <x:mergeCell ref="E12:F12"/>
    <x:mergeCell ref="B13:D13"/>
    <x:mergeCell ref="B14:D14"/>
    <x:mergeCell ref="B15:D15"/>
    <x:mergeCell ref="B16:D16"/>
    <x:mergeCell ref="B17:D17"/>
    <x:mergeCell ref="B18:D18"/>
    <x:mergeCell ref="B19:D19"/>
    <x:mergeCell ref="B20:D20"/>
    <x:mergeCell ref="B21:D21"/>
    <x:mergeCell ref="B22:D22"/>
    <x:mergeCell ref="B23:D23"/>
    <x:mergeCell ref="B24:D24"/>
    <x:mergeCell ref="B25:D25"/>
    <x:mergeCell ref="B26:D26"/>
    <x:mergeCell ref="B27:D27"/>
    <x:mergeCell ref="B28:D28"/>
    <x:mergeCell ref="B29:D29"/>
    <x:mergeCell ref="B30:D30"/>
    <x:mergeCell ref="B31:D31"/>
    <x:mergeCell ref="B32:D32"/>
    <x:mergeCell ref="B33:D33"/>
    <x:mergeCell ref="B34:D34"/>
    <x:mergeCell ref="B35:D35"/>
    <x:mergeCell ref="B36:D36"/>
    <x:mergeCell ref="B37:D37"/>
    <x:mergeCell ref="B38:D38"/>
    <x:mergeCell ref="B39:D39"/>
    <x:mergeCell ref="B40:D40"/>
    <x:mergeCell ref="B41:D41"/>
    <x:mergeCell ref="B42:D42"/>
    <x:mergeCell ref="B43:D43"/>
    <x:mergeCell ref="B44:D44"/>
    <x:mergeCell ref="B45:D45"/>
    <x:mergeCell ref="B46:D46"/>
    <x:mergeCell ref="B47:D47"/>
    <x:mergeCell ref="B48:D48"/>
    <x:mergeCell ref="A49:I49"/>
  </x:mergeCells>
  <x:pageMargins left="0.7" right="0.7" top="0.75" bottom="0.75" header="0.3" footer="0.3"/>
</x:worksheet>
</file>