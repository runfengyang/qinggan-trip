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5e0dd9d03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9ee4d11c82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m/d"/>
    <x:numFmt numFmtId="201" formatCode="&quot;¥&quot;#,##0.00"/>
    <x:numFmt numFmtId="202" formatCode="&quot;¥&quot;#,##0"/>
    <x:numFmt numFmtId="203" formatCode="0%"/>
  </x:numFmts>
  <x:fonts count="30">
    <x:font>
      <x:sz val="11"/>
      <x:color theme="1"/>
      <x:name val="宋体"/>
    </x:font>
    <x:font>
      <x:b/>
      <x:sz val="14"/>
      <x:color theme="1"/>
      <x:name val="宋体"/>
    </x:font>
    <x:font>
      <x:b/>
      <x:sz val="14"/>
      <x:color rgb="FFFF0000"/>
      <x:name val="宋体"/>
    </x:font>
    <x:font>
      <x:sz val="12"/>
      <x:name val="宋体"/>
    </x:font>
    <x:font>
      <x:sz val="12"/>
      <x:color theme="1"/>
      <x:name val="宋体"/>
    </x:font>
    <x:font>
      <x:sz val="12"/>
      <x:color theme="1"/>
      <x:name val="宋体"/>
    </x:font>
    <x:font>
      <x:sz val="12"/>
      <x:color rgb="FFFF0000"/>
      <x:name val="宋体"/>
    </x:font>
    <x:font>
      <x:sz val="12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2"/>
      <x:color rgb="FFFF0000"/>
      <x:name val="宋体"/>
    </x:font>
    <x:font>
      <x:sz val="11"/>
      <x:color rgb="FF26352F"/>
      <x:name val="宋体"/>
    </x:font>
    <x:font>
      <x:b/>
      <x:sz val="11"/>
      <x:color rgb="FF26352F"/>
      <x:name val="宋体"/>
    </x:font>
  </x:fonts>
  <x:fills count="41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4" tint="0.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31584A"/>
      </x:patternFill>
    </x:fill>
    <x:fill>
      <x:patternFill patternType="solid">
        <x:fgColor rgb="FFE8EFEA"/>
      </x:patternFill>
    </x:fill>
    <x:fill>
      <x:patternFill patternType="solid">
        <x:fgColor rgb="FFF2DFC8"/>
      </x:patternFill>
    </x:fill>
    <x:fill>
      <x:patternFill patternType="solid">
        <x:fgColor rgb="FFDDEBDD"/>
      </x:patternFill>
    </x:fill>
    <x:fill>
      <x:patternFill patternType="solid">
        <x:fgColor rgb="FFF8E8DD"/>
      </x:patternFill>
    </x:fill>
    <x:fill>
      <x:patternFill patternType="solid">
        <x:fgColor rgb="FF6D827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8B8175"/>
      </x:left>
      <x:right style="thin">
        <x:color rgb="FF8B8175"/>
      </x:right>
      <x:top style="thin">
        <x:color rgb="FF8B8175"/>
      </x:top>
      <x:bottom style="thin">
        <x:color rgb="FF8B8175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0" fillId="4" borderId="3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4" fillId="0" borderId="4" applyNumberFormat="0" applyFill="0" applyAlignment="0" applyProtection="0">
      <x:alignment vertical="center"/>
    </x:xf>
    <x:xf numFmtId="0" fontId="15" fillId="0" borderId="5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6" borderId="7" applyNumberFormat="0" applyAlignment="0" applyProtection="0">
      <x:alignment vertical="center"/>
    </x:xf>
    <x:xf numFmtId="0" fontId="18" fillId="6" borderId="6" applyNumberFormat="0" applyAlignment="0" applyProtection="0">
      <x:alignment vertical="center"/>
    </x:xf>
    <x:xf numFmtId="0" fontId="19" fillId="7" borderId="8" applyNumberFormat="0" applyAlignment="0" applyProtection="0">
      <x:alignment vertical="center"/>
    </x:xf>
    <x:xf numFmtId="0" fontId="20" fillId="0" borderId="9" applyNumberFormat="0" applyFill="0" applyAlignment="0" applyProtection="0">
      <x:alignment vertical="center"/>
    </x:xf>
    <x:xf numFmtId="0" fontId="21" fillId="0" borderId="10" applyNumberFormat="0" applyFill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6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</x:cellStyleXfs>
  <x:cellXfs count="54">
    <x:xf numFmtId="0" fontId="0" fillId="0" borderId="0" xfId="0">
      <x:alignment vertical="center"/>
    </x:xf>
    <x:xf numFmtId="0" fontId="0" fillId="0" borderId="0" xfId="0" applyFill="1" applyAlignment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0" fontId="0" fillId="0" borderId="1" xfId="0" applyFill="1" applyBorder="1" applyAlignment="1">
      <x:alignment horizontal="center" vertical="center"/>
    </x:xf>
    <x:xf numFmtId="58" fontId="3" fillId="0" borderId="1" xfId="0" applyNumberFormat="1" applyFont="1" applyFill="1" applyBorder="1" applyAlignment="1">
      <x:alignment horizontal="center" vertical="center"/>
    </x:xf>
    <x:xf numFmtId="0" fontId="3" fillId="0" borderId="1" xfId="0" applyFont="1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 wrapText="1"/>
    </x:xf>
    <x:xf numFmtId="0" fontId="5" fillId="0" borderId="1" xfId="0" applyFont="1" applyFill="1" applyBorder="1" applyAlignment="1">
      <x:alignment horizontal="center" vertical="center"/>
    </x:xf>
    <x:xf numFmtId="0" fontId="5" fillId="0" borderId="1" xfId="0" applyFont="1" applyFill="1" applyBorder="1" applyAlignment="1">
      <x:alignment horizontal="center" vertical="center" wrapText="1"/>
    </x:xf>
    <x:xf numFmtId="0" fontId="3" fillId="0" borderId="1" xfId="0" applyFont="1" applyFill="1" applyBorder="1" applyAlignment="1">
      <x:alignment horizontal="center" vertical="center" wrapText="1"/>
    </x:xf>
    <x:xf numFmtId="0" fontId="6" fillId="0" borderId="1" xfId="0" applyFont="1" applyFill="1" applyBorder="1" applyAlignment="1">
      <x:alignment horizontal="center" vertical="center" wrapText="1"/>
    </x:xf>
    <x:xf numFmtId="0" fontId="7" fillId="0" borderId="1" xfId="0" applyFont="1" applyFill="1" applyBorder="1" applyAlignment="1">
      <x:alignment horizontal="center" vertical="center" wrapText="1"/>
    </x:xf>
    <x:xf numFmtId="0" fontId="6" fillId="0" borderId="1" xfId="0" applyFont="1" applyFill="1" applyBorder="1" applyAlignment="1">
      <x:alignment horizontal="center" vertical="center"/>
    </x:xf>
    <x:xf numFmtId="58" fontId="3" fillId="0" borderId="1" xfId="0" applyNumberFormat="1" applyFont="1" applyFill="1" applyBorder="1" applyAlignment="1">
      <x:alignment horizontal="left" vertical="center" wrapText="1"/>
    </x:xf>
    <x:xf numFmtId="0" fontId="5" fillId="0" borderId="1" xfId="0" applyFont="1" applyFill="1" applyBorder="1" applyAlignment="1">
      <x:alignment horizontal="left" vertical="center" wrapText="1"/>
    </x:xf>
    <x:xf numFmtId="0" fontId="5" fillId="0" borderId="1" xfId="0" applyFont="1" applyFill="1" applyBorder="1" applyAlignment="1">
      <x:alignment horizontal="left" vertical="center"/>
    </x:xf>
    <x:xf numFmtId="0" fontId="5" fillId="3" borderId="1" xfId="0" applyFont="1" applyFill="1" applyBorder="1" applyAlignment="1">
      <x:alignment horizontal="center" vertical="center"/>
    </x:xf>
    <x:xf numFmtId="58" fontId="3" fillId="0" borderId="2" xfId="0" applyNumberFormat="1" applyFont="1" applyFill="1" applyBorder="1" applyAlignment="1">
      <x:alignment horizontal="left" vertical="center" wrapText="1"/>
    </x:xf>
    <x:xf numFmtId="0" fontId="0" fillId="0" borderId="0" xfId="0" applyFill="1" applyBorder="1" applyAlignment="1">
      <x:alignment horizontal="center" vertical="center"/>
    </x:xf>
    <x:xf numFmtId="0" fontId="0" fillId="0" borderId="0" xfId="0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28" fillId="0" borderId="11" xfId="0" applyNumberFormat="1" applyFont="1" applyFill="1" applyBorder="1" applyAlignment="1">
      <x:alignment vertical="center"/>
    </x:xf>
    <x:xf numFmtId="200" fontId="28" fillId="0" borderId="11" xfId="0" applyNumberFormat="1" applyFont="1" applyFill="1" applyBorder="1" applyAlignment="1">
      <x:alignment vertical="center"/>
    </x:xf>
    <x:xf numFmtId="0" fontId="28" fillId="0" borderId="11" xfId="0" applyNumberFormat="1" applyFont="1" applyFill="1" applyBorder="1" applyAlignment="1">
      <x:alignment vertical="center" wrapText="1"/>
    </x:xf>
    <x:xf numFmtId="200" fontId="28" fillId="0" borderId="11" xfId="0" applyNumberFormat="1" applyFont="1" applyFill="1" applyBorder="1" applyAlignment="1">
      <x:alignment vertical="center" wrapText="1"/>
    </x:xf>
    <x:xf numFmtId="0" fontId="28" fillId="35" borderId="11" xfId="0" applyNumberFormat="1" applyFont="1" applyFill="1" applyBorder="1" applyAlignment="1">
      <x:alignment vertical="center" wrapText="1"/>
    </x:xf>
    <x:xf numFmtId="0" fontId="19" fillId="35" borderId="11" xfId="0" applyNumberFormat="1" applyFont="1" applyFill="1" applyBorder="1" applyAlignment="1">
      <x:alignment vertical="center" wrapText="1"/>
    </x:xf>
    <x:xf numFmtId="0" fontId="19" fillId="35" borderId="11" xfId="0" applyNumberFormat="1" applyFont="1" applyFill="1" applyBorder="1" applyAlignment="1">
      <x:alignment horizontal="center" vertical="center" wrapText="1"/>
    </x:xf>
    <x:xf numFmtId="0" fontId="28" fillId="0" borderId="11" xfId="0" applyNumberFormat="1" applyFont="1" applyFill="1" applyBorder="1" applyAlignment="1">
      <x:alignment horizontal="center" vertical="center" wrapText="1"/>
    </x:xf>
    <x:xf numFmtId="200" fontId="28" fillId="0" borderId="11" xfId="0" applyNumberFormat="1" applyFont="1" applyFill="1" applyBorder="1" applyAlignment="1">
      <x:alignment horizontal="center" vertical="center" wrapText="1"/>
    </x:xf>
    <x:xf numFmtId="0" fontId="28" fillId="0" borderId="11" xfId="0" applyNumberFormat="1" applyFont="1" applyFill="1" applyBorder="1" applyAlignment="1">
      <x:alignment horizontal="left" vertical="center" wrapText="1"/>
    </x:xf>
    <x:xf numFmtId="0" fontId="28" fillId="36" borderId="11" xfId="0" applyNumberFormat="1" applyFont="1" applyFill="1" applyBorder="1" applyAlignment="1">
      <x:alignment horizontal="left" vertical="center" wrapText="1"/>
    </x:xf>
    <x:xf numFmtId="0" fontId="28" fillId="37" borderId="11" xfId="0" applyNumberFormat="1" applyFont="1" applyFill="1" applyBorder="1" applyAlignment="1">
      <x:alignment horizontal="center" vertical="center" wrapText="1"/>
    </x:xf>
    <x:xf numFmtId="0" fontId="28" fillId="37" borderId="11" xfId="0" applyNumberFormat="1" applyFont="1" applyFill="1" applyBorder="1" applyAlignment="1">
      <x:alignment vertical="center" wrapText="1"/>
    </x:xf>
    <x:xf numFmtId="0" fontId="29" fillId="37" borderId="11" xfId="0" applyNumberFormat="1" applyFont="1" applyFill="1" applyBorder="1" applyAlignment="1">
      <x:alignment horizontal="center" vertical="center" wrapText="1"/>
    </x:xf>
    <x:xf numFmtId="0" fontId="29" fillId="37" borderId="11" xfId="0" applyNumberFormat="1" applyFont="1" applyFill="1" applyBorder="1" applyAlignment="1">
      <x:alignment vertical="center" wrapText="1"/>
    </x:xf>
    <x:xf numFmtId="0" fontId="28" fillId="38" borderId="11" xfId="0" applyNumberFormat="1" applyFont="1" applyFill="1" applyBorder="1" applyAlignment="1">
      <x:alignment horizontal="left" vertical="center" wrapText="1"/>
    </x:xf>
    <x:xf numFmtId="0" fontId="28" fillId="39" borderId="11" xfId="0" applyNumberFormat="1" applyFont="1" applyFill="1" applyBorder="1" applyAlignment="1">
      <x:alignment horizontal="left" vertical="center" wrapText="1"/>
    </x:xf>
    <x:xf numFmtId="0" fontId="28" fillId="38" borderId="11" xfId="0" applyNumberFormat="1" applyFont="1" applyFill="1" applyBorder="1" applyAlignment="1">
      <x:alignment vertical="center" wrapText="1"/>
    </x:xf>
    <x:xf numFmtId="0" fontId="29" fillId="38" borderId="11" xfId="0" applyNumberFormat="1" applyFont="1" applyFill="1" applyBorder="1" applyAlignment="1">
      <x:alignment vertical="center" wrapText="1"/>
    </x:xf>
    <x:xf numFmtId="0" fontId="28" fillId="40" borderId="11" xfId="0" applyNumberFormat="1" applyFont="1" applyFill="1" applyBorder="1" applyAlignment="1">
      <x:alignment vertical="center" wrapText="1"/>
    </x:xf>
    <x:xf numFmtId="0" fontId="19" fillId="40" borderId="11" xfId="0" applyNumberFormat="1" applyFont="1" applyFill="1" applyBorder="1" applyAlignment="1">
      <x:alignment vertical="center" wrapText="1"/>
    </x:xf>
    <x:xf numFmtId="0" fontId="19" fillId="40" borderId="11" xfId="0" applyNumberFormat="1" applyFont="1" applyFill="1" applyBorder="1" applyAlignment="1">
      <x:alignment horizontal="center" vertical="center" wrapText="1"/>
    </x:xf>
    <x:xf numFmtId="201" fontId="28" fillId="0" borderId="11" xfId="0" applyNumberFormat="1" applyFont="1" applyFill="1" applyBorder="1" applyAlignment="1">
      <x:alignment horizontal="center" vertical="center" wrapText="1"/>
    </x:xf>
    <x:xf numFmtId="202" fontId="28" fillId="0" borderId="11" xfId="0" applyNumberFormat="1" applyFont="1" applyFill="1" applyBorder="1" applyAlignment="1">
      <x:alignment horizontal="center" vertical="center" wrapText="1"/>
    </x:xf>
    <x:xf numFmtId="202" fontId="29" fillId="38" borderId="11" xfId="0" applyNumberFormat="1" applyFont="1" applyFill="1" applyBorder="1" applyAlignment="1">
      <x:alignment vertical="center" wrapText="1"/>
    </x:xf>
    <x:xf numFmtId="203" fontId="28" fillId="0" borderId="11" xfId="0" applyNumberFormat="1" applyFont="1" applyFill="1" applyBorder="1" applyAlignment="1">
      <x:alignment horizontal="center" vertical="center" wrapText="1"/>
    </x:xf>
    <x:xf numFmtId="202" fontId="28" fillId="37" borderId="11" xfId="0" applyNumberFormat="1" applyFont="1" applyFill="1" applyBorder="1" applyAlignment="1">
      <x:alignment horizontal="center" vertical="center" wrapText="1"/>
    </x:xf>
    <x:xf numFmtId="202" fontId="29" fillId="37" borderId="11" xfId="0" applyNumberFormat="1" applyFont="1" applyFill="1" applyBorder="1" applyAlignment="1">
      <x:alignment horizontal="center" vertical="center" wrapText="1"/>
    </x:xf>
    <x:xf numFmtId="0" fontId="28" fillId="39" borderId="11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981f97cfe4728" /><Relationship Type="http://schemas.openxmlformats.org/officeDocument/2006/relationships/theme" Target="/xl/theme/theme1.xml" Id="R35eac8fc1c7a4273" /><Relationship Type="http://schemas.openxmlformats.org/officeDocument/2006/relationships/sharedStrings" Target="/xl/sharedStrings.xml" Id="R4ac7698a99f84fca" /><Relationship Type="http://schemas.openxmlformats.org/officeDocument/2006/relationships/worksheet" Target="/xl/worksheets/sheet1.xml" Id="R269ee4d11c824600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230769157409668" defaultRowHeight="16.799999237060547"/>
  <x:cols>
    <x:col min="1" max="1" width="8" style="1" hidden="0" customWidth="1"/>
    <x:col min="2" max="2" width="9" style="1" hidden="0" customWidth="1"/>
    <x:col min="3" max="3" width="13" style="1" hidden="0" customWidth="1"/>
    <x:col min="4" max="4" width="58" style="1" hidden="0" customWidth="1"/>
    <x:col min="5" max="6" width="17.778846740722656" style="1" customWidth="1"/>
    <x:col min="7" max="7" width="48" style="1" hidden="0" customWidth="1"/>
    <x:col min="8" max="8" width="19" style="1" hidden="0" customWidth="1"/>
    <x:col min="9" max="9" width="34" style="1" hidden="0" customWidth="1"/>
    <x:col min="10" max="10" width="2" style="1" hidden="0" customWidth="1"/>
    <x:col min="11" max="11" width="2" style="1" hidden="0" customWidth="1"/>
    <x:col min="12" max="16384" width="9.230769157409668" style="1" customWidth="0"/>
    <x:col min="5" max="5" width="12" hidden="0" customWidth="1"/>
    <x:col min="6" max="6" width="18" hidden="0" customWidth="1"/>
  </x:cols>
  <x:sheetData>
    <x:row r="1" s="1" customFormat="1" ht="34" customHeight="1">
      <x:c r="A1" s="31" t="str">
        <x:v>天数</x:v>
      </x:c>
      <x:c r="B1" s="31" t="str">
        <x:v>日期</x:v>
      </x:c>
      <x:c r="C1" s="31" t="str">
        <x:v>出发城市</x:v>
      </x:c>
      <x:c r="D1" s="31" t="str">
        <x:v>日间行程（时间轴）</x:v>
      </x:c>
      <x:c r="E1" s="31" t="str">
        <x:v>抵达城市</x:v>
      </x:c>
      <x:c r="F1" s="31" t="str">
        <x:v>公里数</x:v>
      </x:c>
      <x:c r="G1" s="31" t="str">
        <x:v>酒店推荐</x:v>
      </x:c>
      <x:c r="H1" s="31" t="str">
        <x:v>参考价格/间</x:v>
      </x:c>
      <x:c r="I1" s="31" t="str">
        <x:v>星级/档次</x:v>
      </x:c>
      <x:c r="J1"/>
      <x:c r="K1"/>
      <x:c r="L1" s="20"/>
      <x:c r="M1" s="21"/>
      <x:c r="N1" s="21"/>
      <x:c r="O1" s="21"/>
    </x:row>
    <x:row r="2" s="1" customFormat="1" ht="174" customHeight="1">
      <x:c r="A2" s="32" t="str">
        <x:v>D1</x:v>
      </x:c>
      <x:c r="B2" s="33" t="n">
        <x:v>46243</x:v>
      </x:c>
      <x:c r="C2" s="32" t="str">
        <x:v>抵达西宁</x:v>
      </x:c>
      <x:c r="D2" s="34" t="str">
        <x:v>抵达时｜西宁机场 / 火车站
↓ 约 30–60 min 市内接驳
抵达后｜酒店办理入住｜西宁海拔约 2,260 m
午餐｜按实际抵达时间在机场、车站或酒店周边解决
下午｜取车、验车、加油，采购饮水、干粮、氧气和常用药
18:30｜晚餐：西宁市区</x:v>
      </x:c>
      <x:c r="E2" s="32" t="str"/>
      <x:c r="F2" s="32" t="str">
        <x:v>约 30–80 km
市内接驳</x:v>
      </x:c>
      <x:c r="G2" s="35" t="str">
        <x:v>西宁万枫酒店
  旺季含税参考价；含早餐、可免费取消
宜尚酒店（西宁海湖新区万达广场店）
  预算采用此酒店；含早餐、停车方便
普同酒店
  旺季含税参考价</x:v>
      </x:c>
      <x:c r="H2" s="32" t="str">
        <x:v>约 ¥468
约 ¥331
约 ¥398</x:v>
      </x:c>
      <x:c r="I2" s="32" t="str">
        <x:v>高档型
舒适型
舒适型</x:v>
      </x:c>
      <x:c r="J2"/>
      <x:c r="K2"/>
      <x:c r="L2" s="20"/>
      <x:c r="M2" s="21"/>
      <x:c r="N2" s="21"/>
      <x:c r="O2" s="21"/>
    </x:row>
    <x:row r="3" s="1" customFormat="1" ht="238" customHeight="1">
      <x:c r="A3" s="32" t="str">
        <x:v>D2</x:v>
      </x:c>
      <x:c r="B3" s="33" t="n">
        <x:v>46244</x:v>
      </x:c>
      <x:c r="C3" s="32" t="str">
        <x:v>西宁</x:v>
      </x:c>
      <x:c r="D3" s="34" t="str">
        <x:v>09:00｜西宁出发
↓ 约 2 h 30 min
11:30｜青海湖沿途合规观景点｜海拔约 3,196 m｜游玩 1 h
12:40｜午餐：青海湖沿线 / 江西沟｜用餐约 1 h
13:40｜继续沿湖南岸、西岸向茶卡
15:20｜青海湖西岸合规观景点｜海拔约 3,196 m｜游玩约 40 min
16:00｜出发前往茶卡
18:00｜抵达茶卡镇并入住
18:30｜晚餐：茶卡镇</x:v>
      </x:c>
      <x:c r="E3" s="32" t="str">
        <x:v>茶卡</x:v>
      </x:c>
      <x:c r="F3" s="32" t="str">
        <x:v>约 300–330 km
约 5–5.5 h</x:v>
      </x:c>
      <x:c r="G3" s="35" t="str">
        <x:v>茶卡盐湖天域假日酒店
  预算采用此酒店；双床、早餐、停车方便
柏兰岛酒店
  旺季参考区间；双床、早餐、供氧
汉庭酒店（茶卡盐湖店）
  旺季参考区间</x:v>
      </x:c>
      <x:c r="H3" s="32" t="str">
        <x:v>约 ¥517
约 ¥650–800
约 ¥380–480</x:v>
      </x:c>
      <x:c r="I3" s="32" t="str">
        <x:v>舒适型
高档型
经济型</x:v>
      </x:c>
      <x:c r="J3"/>
      <x:c r="K3"/>
      <x:c r="L3" s="20"/>
      <x:c r="M3" s="21"/>
      <x:c r="N3" s="21"/>
      <x:c r="O3" s="21"/>
    </x:row>
    <x:row r="4" s="1" customFormat="1" ht="280" customHeight="1">
      <x:c r="A4" s="32" t="str">
        <x:v>D3</x:v>
      </x:c>
      <x:c r="B4" s="33" t="n">
        <x:v>46245</x:v>
      </x:c>
      <x:c r="C4" s="32" t="str">
        <x:v>茶卡</x:v>
      </x:c>
      <x:c r="D4" s="34" t="str">
        <x:v>08:30｜茶卡酒店出发
08:50｜茶卡盐湖｜海拔约 3,059 m｜游玩约 2 h 30 min
11:20｜出发前往德令哈
13:50｜午餐：德令哈市区｜用餐约 50 min
14:40｜出发前往小柴旦湖
16:45｜小柴旦湖合规观景点｜海拔约 3,150 m｜游玩约 30 min
17:15｜出发前往大柴旦
18:20｜抵达大柴旦，办理入住 / 简单补给
18:40｜大柴旦翡翠湖｜海拔约 3,148 m｜游玩约 2 h
20:40｜返回大柴旦镇
21:00｜晚餐：大柴旦镇</x:v>
      </x:c>
      <x:c r="E4" s="32" t="str">
        <x:v>大柴旦</x:v>
      </x:c>
      <x:c r="F4" s="32" t="str">
        <x:v>约 470–510 km
约 6.5–7 h</x:v>
      </x:c>
      <x:c r="G4" s="35" t="str">
        <x:v>大柴旦丽呈华廷酒店（翡翠步行街店）
  预算按 ¥900/间；供氧、停车、早餐
大柴旦丽呈翠星酒店
  旺季参考区间
全季酒店（大柴旦翡翠步行街店）
  旺季参考区间</x:v>
      </x:c>
      <x:c r="H4" s="32" t="str">
        <x:v>约 ¥900–1,300
约 ¥700–1,000
约 ¥750–1,050</x:v>
      </x:c>
      <x:c r="I4" s="32" t="str">
        <x:v>高档型
高档型
舒适型</x:v>
      </x:c>
      <x:c r="J4"/>
      <x:c r="K4"/>
      <x:c r="L4" s="20"/>
      <x:c r="M4" s="21"/>
      <x:c r="N4" s="21"/>
      <x:c r="O4" s="21"/>
    </x:row>
    <x:row r="5" s="1" customFormat="1" ht="230" customHeight="1">
      <x:c r="A5" s="32" t="str">
        <x:v>D4</x:v>
      </x:c>
      <x:c r="B5" s="33" t="n">
        <x:v>46246</x:v>
      </x:c>
      <x:c r="C5" s="32" t="str">
        <x:v>大柴旦</x:v>
      </x:c>
      <x:c r="D5" s="34" t="str">
        <x:v>08:30｜大柴旦镇出发
↓ 约 3 h 30 min
12:00｜午餐：冷湖镇｜用餐、补给和加油约 1 h
13:00｜出发前往黑独山
13:40｜黑独山开放区域｜海拔约 2,800 m｜游玩约 1 h 20 min
15:00｜经阿克塞前往敦煌
↓ 约 4 h 30 min，途中安排休息
19:30｜抵达敦煌并入住｜敦煌海拔约 1,140 m
20:00｜晚餐：敦煌市区</x:v>
      </x:c>
      <x:c r="E5" s="32" t="str">
        <x:v>敦煌</x:v>
      </x:c>
      <x:c r="F5" s="32" t="str">
        <x:v>约 500–550 km
约 7.5–8.5 h</x:v>
      </x:c>
      <x:c r="G5" s="35" t="str">
        <x:v>阳光城舒适PLUS酒店（敦煌沙洲夜市店）
  预算采用此酒店；双床、可免费取消
敦煌御龙大酒店
  双床、早餐、可免费取消
敦煌暮洲·OASIS度假酒店
  旺季含税参考价
敦煌白鹿酒店（沙洲市场店）
  旺季含税参考价</x:v>
      </x:c>
      <x:c r="H5" s="32" t="str">
        <x:v>约 ¥353
约 ¥303
约 ¥581
约 ¥212</x:v>
      </x:c>
      <x:c r="I5" s="32" t="str">
        <x:v>舒适型
舒适型
度假型
经济型</x:v>
      </x:c>
      <x:c r="J5"/>
      <x:c r="K5"/>
      <x:c r="L5" s="20"/>
      <x:c r="M5" s="21"/>
      <x:c r="N5" s="21"/>
      <x:c r="O5" s="21"/>
    </x:row>
    <x:row r="6" s="1" customFormat="1" ht="240" customHeight="1">
      <x:c r="A6" s="32" t="str">
        <x:v>D5</x:v>
      </x:c>
      <x:c r="B6" s="33" t="n">
        <x:v>46247</x:v>
      </x:c>
      <x:c r="C6" s="32" t="str">
        <x:v>敦煌</x:v>
      </x:c>
      <x:c r="D6" s="34" t="str">
        <x:v>09:00｜敦煌酒店出发
09:30｜莫高窟｜海拔约 1,140 m｜游玩约 4 h
13:30｜返回敦煌市区
14:00｜午餐：敦煌市区｜用餐约 1 h
15:00｜酒店休息
16:30｜出发前往鸣沙山月牙泉
17:00｜鸣沙山月牙泉｜海拔约 1,130 m｜游玩约 3 h 30 min
20:30｜离开景区
21:00｜晚餐：沙州夜市 / 敦煌市区</x:v>
      </x:c>
      <x:c r="E6" s="32" t="str">
        <x:v>敦煌</x:v>
      </x:c>
      <x:c r="F6" s="32" t="str">
        <x:v>约 70–90 km
约 2 h</x:v>
      </x:c>
      <x:c r="G6" s="35" t="str">
        <x:v>续住阳光城舒适PLUS酒店（敦煌沙洲夜市店）
  预算采用此酒店，连续住两晚
续住前一晚其他敦煌酒店
  避免换酒店，实际以续住页面为准</x:v>
      </x:c>
      <x:c r="H6" s="32" t="str">
        <x:v>约 ¥353
约 ¥212–581</x:v>
      </x:c>
      <x:c r="I6" s="32" t="str">
        <x:v>舒适型
经济型—度假型</x:v>
      </x:c>
      <x:c r="J6"/>
      <x:c r="K6"/>
      <x:c r="L6" s="20"/>
      <x:c r="M6" s="21"/>
      <x:c r="N6" s="21"/>
      <x:c r="O6" s="21"/>
    </x:row>
    <x:row r="7" s="1" customFormat="1" ht="210" customHeight="1">
      <x:c r="A7" s="32" t="str">
        <x:v>D6</x:v>
      </x:c>
      <x:c r="B7" s="33" t="n">
        <x:v>46248</x:v>
      </x:c>
      <x:c r="C7" s="32" t="str">
        <x:v>敦煌</x:v>
      </x:c>
      <x:c r="D7" s="34" t="str">
        <x:v>08:30｜敦煌出发
10:00｜瓜州服务区 / 县城短休｜海拔约 1,180 m｜停留约 20 min
10:20｜继续前往嘉峪关
12:30｜午餐：瓜州 / 服务区｜用餐约 45 min
13:15｜继续前往嘉峪关
14:30—15:00｜抵达嘉峪关并办理入住｜海拔约 1,620 m
下午｜休息或在市区自由活动
18:30｜晚餐：嘉峪关市区</x:v>
      </x:c>
      <x:c r="E7" s="32" t="str">
        <x:v>嘉峪关</x:v>
      </x:c>
      <x:c r="F7" s="32" t="str">
        <x:v>约 380 km
约 4.5–5 h</x:v>
      </x:c>
      <x:c r="G7" s="35" t="str">
        <x:v>公航旅嘉峪明珠酒店（嘉峪关市高铁南站店）
  预算采用此酒店；停车方便，入住日需重新确认
嘉峪关宾馆（富强市场店）
  市区位置方便，停车评价较多，旺季参考区间
嘉峪关嘉禧国际酒店（名嘉汇时尚中心店）
  市区备选，入住日需重新确认</x:v>
      </x:c>
      <x:c r="H7" s="32" t="str">
        <x:v>约 ¥450
约 ¥350–500
约 ¥320–480</x:v>
      </x:c>
      <x:c r="I7" s="32" t="str">
        <x:v>高档型
高档型
舒适型</x:v>
      </x:c>
      <x:c r="J7"/>
      <x:c r="K7"/>
      <x:c r="L7" s="20"/>
      <x:c r="M7" s="21"/>
      <x:c r="N7" s="21"/>
      <x:c r="O7" s="21"/>
    </x:row>
    <x:row r="8" s="1" customFormat="1" ht="250" customHeight="1">
      <x:c r="A8" s="32" t="str">
        <x:v>D7</x:v>
      </x:c>
      <x:c r="B8" s="33" t="n">
        <x:v>46249</x:v>
      </x:c>
      <x:c r="C8" s="32" t="str">
        <x:v>嘉峪关</x:v>
      </x:c>
      <x:c r="D8" s="34" t="str">
        <x:v>08:00｜嘉峪关出发
11:00｜抵达张掖七彩丹霞｜海拔约 1,850 m
11:10｜午餐：景区周边 / 随车干粮｜用餐约 40 min
11:50—14:30｜张掖七彩丹霞｜游玩约 2 h 40 min
14:30｜出发，经张掖市区前往扁都口
16:30｜扁都口短休｜海拔约 2,800 m｜停留约 20 min
16:50｜继续前往峨堡镇
18:10—19:00｜抵达峨堡镇并办理入住｜海拔约 3,000 m
19:00｜晚餐：峨堡镇</x:v>
      </x:c>
      <x:c r="E8" s="32" t="str">
        <x:v>峨堡镇</x:v>
      </x:c>
      <x:c r="F8" s="32" t="str">
        <x:v>约 380–400 km
约 5–5.5 h</x:v>
      </x:c>
      <x:c r="G8" s="35" t="str">
        <x:v>祁连丝路宾馆
  预算按 ¥350/间；位于峨堡镇，需优先确认 4 间双床和停车
祁连山宾馆
  位于峨堡村，停车方便；旺季参考区间
祁连古城驿站（峨堡镇店）
  镇内备选；房量有限，需电话确认双床房</x:v>
      </x:c>
      <x:c r="H8" s="32" t="str">
        <x:v>约 ¥300–400
约 ¥250–400
约 ¥250–400</x:v>
      </x:c>
      <x:c r="I8" s="32" t="str">
        <x:v>舒适型
经济型
客栈</x:v>
      </x:c>
      <x:c r="J8"/>
      <x:c r="K8"/>
      <x:c r="L8" s="20"/>
      <x:c r="M8" s="21"/>
      <x:c r="N8" s="21"/>
      <x:c r="O8" s="21"/>
    </x:row>
    <x:row r="9" s="1" customFormat="1" ht="180" customHeight="1">
      <x:c r="A9" s="32" t="str">
        <x:v>D8</x:v>
      </x:c>
      <x:c r="B9" s="33" t="n">
        <x:v>46250</x:v>
      </x:c>
      <x:c r="C9" s="32" t="str">
        <x:v>峨堡镇</x:v>
      </x:c>
      <x:c r="D9" s="34" t="str">
        <x:v>07:30｜早餐：峨堡镇
08:00｜峨堡镇出发
途中｜仅安排必要的服务区短休，不增加景点停留
11:30—12:00｜抵达西宁曹家堡机场｜海拔约 2,180 m
抵达后｜加油、还车、整理行李并办理值机
午餐｜机场内 / 按航班时间安排</x:v>
      </x:c>
      <x:c r="E9" s="32" t="str">
        <x:v>西宁曹家堡机场</x:v>
      </x:c>
      <x:c r="F9" s="32" t="str">
        <x:v>约 240 km
约 3–3.5 h</x:v>
      </x:c>
      <x:c r="G9" s="35" t="str">
        <x:v>无住宿（抵达机场结束）
  建议航班安排在 14:30 以后，为还车和安检留足时间</x:v>
      </x:c>
      <x:c r="H9" s="32" t="str">
        <x:v>¥0</x:v>
      </x:c>
      <x:c r="I9" s="32" t="str">
        <x:v>—</x:v>
      </x:c>
      <x:c r="J9"/>
      <x:c r="K9"/>
      <x:c r="L9" s="20"/>
      <x:c r="M9" s="21"/>
      <x:c r="N9" s="21"/>
      <x:c r="O9" s="21"/>
    </x:row>
    <x:row r="10" s="1" customFormat="1" ht="72" customHeight="1">
      <x:c r="A10" s="38" t="str">
        <x:v>合计</x:v>
      </x:c>
      <x:c r="B10" s="38" t="str">
        <x:v>8/9–8/16</x:v>
      </x:c>
      <x:c r="C10" s="38" t="str">
        <x:v>西宁</x:v>
      </x:c>
      <x:c r="D10" s="39" t="str">
        <x:v>西宁—青海湖—茶卡—德令哈—小柴旦—大柴旦—冷湖—黑独山—敦煌—瓜州—嘉峪关—张掖七彩丹霞—张掖—扁都口—峨堡镇—西宁曹家堡机场</x:v>
      </x:c>
      <x:c r="E10" s="38" t="str">
        <x:v>西宁</x:v>
      </x:c>
      <x:c r="F10" s="38" t="str">
        <x:v>约 2,450–2,600 km</x:v>
      </x:c>
      <x:c r="G10" s="39" t="str">
        <x:v>酒店共 7 晚；按 8 人、4 间房计算</x:v>
      </x:c>
      <x:c r="H10" s="38" t="str">
        <x:v>住宿预算 ¥13,016/团</x:v>
      </x:c>
      <x:c r="I10" s="38" t="str">
        <x:v>人均住宿 ¥1,627</x:v>
      </x:c>
      <x:c r="J10"/>
      <x:c r="K10"/>
      <x:c r="L10" s="20"/>
      <x:c r="M10" s="21"/>
      <x:c r="N10" s="21"/>
      <x:c r="O10" s="21"/>
    </x:row>
    <x:row r="11" s="1" customFormat="1" ht="58" customHeight="1">
      <x:c r="A11" s="40" t="str">
        <x:v>预算说明：按 8 人、2 辆 5 座燃油 SUV、4 间房、7 晚测算；车辆按 8 天计费，租金和酒店采用旺季规划价，最终以预订结算页为准。 不含抵达西宁和离开西宁的大交通；详细人均预算逐项列于下方。</x:v>
      </x:c>
      <x:c r="B11" s="40"/>
      <x:c r="C11" s="40"/>
      <x:c r="D11" s="40"/>
      <x:c r="E11" s="40"/>
      <x:c r="F11" s="40"/>
      <x:c r="G11" s="40"/>
      <x:c r="H11" s="40"/>
      <x:c r="I11" s="40"/>
      <x:c r="J11"/>
      <x:c r="K11"/>
      <x:c r="L11" s="20"/>
      <x:c r="M11" s="21"/>
      <x:c r="N11" s="21"/>
      <x:c r="O11" s="21"/>
    </x:row>
    <x:row r="12" s="1" customFormat="1" ht="140" customHeight="1">
      <x:c r="A12" s="41" t="str">
        <x:v>预订与安全提醒：日间时间为自驾规划值，受路况、景区预约和实际停留节奏影响；景点海拔均为公开资料约数。8 月 9 日为抵达日；D3、D4、D6 为长途日 08:30 出发，D7、D8 按 08:00 出发。 D3 同日包含茶卡盐湖、德令哈午餐、小柴旦湖和翡翠湖，属于全程节奏最紧的一天；若当天延误，优先压缩小柴旦湖停留。 莫高窟按实名预约场次安排，预约时间会影响 D5 的具体顺序。 D7 需要在下午 14:30 左右离开彩色丹霞，不等待日落，才能在天黑前抵达峨堡镇。 D8 从峨堡镇直接前往西宁曹家堡机场，不安排岗什卡雪峰或门源游玩；建议预订 14:30 以后的航班。 冷湖作为 D4 午餐、加油和补给点，离开黑独山后直接前往敦煌。 峨堡镇住宿房量和配套弱于城市酒店，应优先确认 4 间双床房、停车和早餐。 荒漠及长途路段见站加油，提前下载离线地图；酒店和租车价格为旺季规划值，需在预订页重新确认。</x:v>
      </x:c>
      <x:c r="B12" s="41"/>
      <x:c r="C12" s="41"/>
      <x:c r="D12" s="41"/>
      <x:c r="E12" s="41"/>
      <x:c r="F12" s="41"/>
      <x:c r="G12" s="41"/>
      <x:c r="H12" s="41"/>
      <x:c r="I12" s="41"/>
      <x:c r="J12"/>
      <x:c r="K12"/>
      <x:c r="L12" s="20"/>
      <x:c r="M12" s="21"/>
      <x:c r="N12" s="21"/>
      <x:c r="O12" s="21"/>
    </x:row>
    <x:row r="13" s="1" customFormat="1" ht="34" customHeight="1">
      <x:c r="A13" s="30" t="str">
        <x:v>8 人详细费用及人均预算</x:v>
      </x:c>
      <x:c r="B13" s="30"/>
      <x:c r="C13" s="30"/>
      <x:c r="D13" s="30"/>
      <x:c r="E13" s="43" t="str">
        <x:v>团费合计</x:v>
      </x:c>
      <x:c r="F13" s="43"/>
      <x:c r="G13" s="49" t="n">
        <x:f>G45</x:f>
        <x:v>47518</x:v>
      </x:c>
      <x:c r="H13" s="43" t="str">
        <x:v>8 人人均</x:v>
      </x:c>
      <x:c r="I13" s="49" t="n">
        <x:f>H45</x:f>
        <x:v>5940</x:v>
      </x:c>
      <x:c r="J13"/>
      <x:c r="K13"/>
      <x:c r="L13" s="20"/>
      <x:c r="M13" s="21"/>
      <x:c r="N13" s="21"/>
      <x:c r="O13" s="21"/>
    </x:row>
    <x:row r="14" s="1" customFormat="1" ht="30" customHeight="1">
      <x:c r="A14" s="46" t="str">
        <x:v>类别</x:v>
      </x:c>
      <x:c r="B14" s="46" t="str">
        <x:v>费用项目 / 计算口径</x:v>
      </x:c>
      <x:c r="C14" s="46"/>
      <x:c r="D14" s="46"/>
      <x:c r="E14" s="46" t="str">
        <x:v>单价</x:v>
      </x:c>
      <x:c r="F14" s="46" t="str">
        <x:v>数量</x:v>
      </x:c>
      <x:c r="G14" s="46" t="str">
        <x:v>8 人合计</x:v>
      </x:c>
      <x:c r="H14" s="46" t="str">
        <x:v>人均</x:v>
      </x:c>
      <x:c r="I14" s="46" t="str">
        <x:v>来源 / 核验说明</x:v>
      </x:c>
      <x:c r="J14"/>
      <x:c r="K14"/>
      <x:c r="L14" s="20"/>
      <x:c r="M14" s="21"/>
      <x:c r="N14" s="21"/>
      <x:c r="O14" s="21"/>
    </x:row>
    <x:row r="15" s="1" customFormat="1" ht="58" customHeight="1">
      <x:c r="A15" s="32" t="str">
        <x:v>租车及车辆</x:v>
      </x:c>
      <x:c r="B15" s="34" t="str">
        <x:v>SUV 车辆租金
¥450/辆/天 × 2 辆 × 8 天</x:v>
      </x:c>
      <x:c r="C15" s="34"/>
      <x:c r="D15" s="34"/>
      <x:c r="E15" s="47" t="n">
        <x:v>450</x:v>
      </x:c>
      <x:c r="F15" s="32" t="n">
        <x:v>16</x:v>
      </x:c>
      <x:c r="G15" s="48" t="n">
        <x:f>ROUND(E15*F15,0)</x:f>
        <x:v>7200</x:v>
      </x:c>
      <x:c r="H15" s="48" t="n">
        <x:f>ROUND(G15/8,0)</x:f>
        <x:v>900</x:v>
      </x:c>
      <x:c r="I15" s="34" t="str">
        <x:v>一嗨西宁公开车型含哈弗 H6；采用暑期旺季规划价，指定日期以结算页为准
https://www.1hai.cn/c_xining</x:v>
      </x:c>
      <x:c r="J15"/>
      <x:c r="K15"/>
      <x:c r="L15" s="21"/>
      <x:c r="M15" s="21"/>
      <x:c r="N15" s="21"/>
      <x:c r="O15" s="21"/>
    </x:row>
    <x:row r="16" s="1" customFormat="1" ht="58" customHeight="1">
      <x:c r="A16" s="32" t="str">
        <x:v>租车及车辆</x:v>
      </x:c>
      <x:c r="B16" s="34" t="str">
        <x:v>基础服务费
¥50/辆/天 × 2 辆 × 8 天</x:v>
      </x:c>
      <x:c r="C16" s="34"/>
      <x:c r="D16" s="34"/>
      <x:c r="E16" s="47" t="n">
        <x:v>50</x:v>
      </x:c>
      <x:c r="F16" s="32" t="n">
        <x:v>16</x:v>
      </x:c>
      <x:c r="G16" s="48" t="n">
        <x:f>ROUND(E16*F16,0)</x:f>
        <x:v>800</x:v>
      </x:c>
      <x:c r="H16" s="48" t="n">
        <x:f>ROUND(G16/8,0)</x:f>
        <x:v>100</x:v>
      </x:c>
      <x:c r="I16" s="34" t="str">
        <x:v>按主流租车平台订单费用结构预留
https://www.zuche.com/</x:v>
      </x:c>
      <x:c r="J16"/>
      <x:c r="K16"/>
      <x:c r="L16" s="21"/>
      <x:c r="M16" s="21"/>
      <x:c r="N16" s="21"/>
      <x:c r="O16" s="21"/>
    </x:row>
    <x:row r="17" ht="58" customHeight="1">
      <x:c r="A17" s="32" t="str">
        <x:v>租车及车辆</x:v>
      </x:c>
      <x:c r="B17" s="34" t="str">
        <x:v>增强保障
¥80/辆/天 × 2 辆 × 8 天</x:v>
      </x:c>
      <x:c r="C17" s="34"/>
      <x:c r="D17" s="34"/>
      <x:c r="E17" s="47" t="n">
        <x:v>80</x:v>
      </x:c>
      <x:c r="F17" s="32" t="n">
        <x:v>16</x:v>
      </x:c>
      <x:c r="G17" s="48" t="n">
        <x:f>ROUND(E17*F17,0)</x:f>
        <x:v>1280</x:v>
      </x:c>
      <x:c r="H17" s="48" t="n">
        <x:f>ROUND(G17/8,0)</x:f>
        <x:v>160</x:v>
      </x:c>
      <x:c r="I17" s="34" t="str">
        <x:v>按主流平台增强保障常见水平预留，最终以结算页为准
https://www.zuche.com/</x:v>
      </x:c>
    </x:row>
    <x:row r="18" ht="58" customHeight="1">
      <x:c r="A18" s="32" t="str">
        <x:v>租车及车辆</x:v>
      </x:c>
      <x:c r="B18" s="34" t="str">
        <x:v>燃油费
2 辆 × 2,500 km/辆 × 9.5 L/100km ≈ 475 L</x:v>
      </x:c>
      <x:c r="C18" s="34"/>
      <x:c r="D18" s="34"/>
      <x:c r="E18" s="47" t="n">
        <x:v>7.37</x:v>
      </x:c>
      <x:c r="F18" s="32" t="n">
        <x:v>475</x:v>
      </x:c>
      <x:c r="G18" s="48" t="n">
        <x:f>ROUND(E18*F18,0)</x:f>
        <x:v>3501</x:v>
      </x:c>
      <x:c r="H18" s="48" t="n">
        <x:f>ROUND(G18/8,0)</x:f>
        <x:v>438</x:v>
      </x:c>
      <x:c r="I18" s="34" t="str">
        <x:v>按青海 92 号汽油 ¥7.37/L 的规划基准测算
https://www.autohome.com.cn/oil/630000.html</x:v>
      </x:c>
    </x:row>
    <x:row r="19" ht="58" customHeight="1">
      <x:c r="A19" s="32" t="str">
        <x:v>租车及车辆</x:v>
      </x:c>
      <x:c r="B19" s="34" t="str">
        <x:v>高速及路桥费
¥900/辆 × 2 辆；含敦煌—张掖等高速路段预留</x:v>
      </x:c>
      <x:c r="C19" s="34"/>
      <x:c r="D19" s="34"/>
      <x:c r="E19" s="47" t="n">
        <x:v>900</x:v>
      </x:c>
      <x:c r="F19" s="32" t="n">
        <x:v>2</x:v>
      </x:c>
      <x:c r="G19" s="48" t="n">
        <x:f>ROUND(E19*F19,0)</x:f>
        <x:v>1800</x:v>
      </x:c>
      <x:c r="H19" s="48" t="n">
        <x:f>ROUND(G19/8,0)</x:f>
        <x:v>225</x:v>
      </x:c>
      <x:c r="I19" s="34" t="str">
        <x:v>闭环路线规划值，实际以收费站和导航账单为准</x:v>
      </x:c>
    </x:row>
    <x:row r="20" ht="58" customHeight="1">
      <x:c r="A20" s="32" t="str">
        <x:v>租车及车辆</x:v>
      </x:c>
      <x:c r="B20" s="34" t="str">
        <x:v>停车费
全程两车景区及城市停车合计预留</x:v>
      </x:c>
      <x:c r="C20" s="34"/>
      <x:c r="D20" s="34"/>
      <x:c r="E20" s="47" t="n">
        <x:v>450</x:v>
      </x:c>
      <x:c r="F20" s="32" t="n">
        <x:v>1</x:v>
      </x:c>
      <x:c r="G20" s="48" t="n">
        <x:f>ROUND(E20*F20,0)</x:f>
        <x:v>450</x:v>
      </x:c>
      <x:c r="H20" s="48" t="n">
        <x:f>ROUND(G20/8,0)</x:f>
        <x:v>56</x:v>
      </x:c>
      <x:c r="I20" s="34" t="str">
        <x:v>按 8 天、两车规划值</x:v>
      </x:c>
    </x:row>
    <x:row r="21" ht="58" customHeight="1">
      <x:c r="A21" s="32" t="str">
        <x:v>酒店</x:v>
      </x:c>
      <x:c r="B21" s="34" t="str">
        <x:v>D1 西宁｜宜尚酒店
¥331/间 × 4 间 × 1 晚</x:v>
      </x:c>
      <x:c r="C21" s="34"/>
      <x:c r="D21" s="34"/>
      <x:c r="E21" s="47" t="n">
        <x:v>331</x:v>
      </x:c>
      <x:c r="F21" s="32" t="n">
        <x:v>4</x:v>
      </x:c>
      <x:c r="G21" s="48" t="n">
        <x:f>ROUND(E21*F21,0)</x:f>
        <x:v>1324</x:v>
      </x:c>
      <x:c r="H21" s="48" t="n">
        <x:f>ROUND(G21/8,0)</x:f>
        <x:v>166</x:v>
      </x:c>
      <x:c r="I21" s="34" t="str">
        <x:v>Trip.com 旺季含税参考价；入住日需重新确认</x:v>
      </x:c>
    </x:row>
    <x:row r="22" ht="58" customHeight="1">
      <x:c r="A22" s="32" t="str">
        <x:v>酒店</x:v>
      </x:c>
      <x:c r="B22" s="34" t="str">
        <x:v>D2 茶卡｜茶卡盐湖天域假日酒店
¥517/间 × 4 间 × 1 晚</x:v>
      </x:c>
      <x:c r="C22" s="34"/>
      <x:c r="D22" s="34"/>
      <x:c r="E22" s="47" t="n">
        <x:v>517</x:v>
      </x:c>
      <x:c r="F22" s="32" t="n">
        <x:v>4</x:v>
      </x:c>
      <x:c r="G22" s="48" t="n">
        <x:f>ROUND(E22*F22,0)</x:f>
        <x:v>2068</x:v>
      </x:c>
      <x:c r="H22" s="48" t="n">
        <x:f>ROUND(G22/8,0)</x:f>
        <x:v>259</x:v>
      </x:c>
      <x:c r="I22" s="34" t="str">
        <x:v>Trip.com 旺季含税参考价；入住日需重新确认</x:v>
      </x:c>
    </x:row>
    <x:row r="23" ht="58" customHeight="1">
      <x:c r="A23" s="32" t="str">
        <x:v>酒店</x:v>
      </x:c>
      <x:c r="B23" s="34" t="str">
        <x:v>D3 大柴旦｜丽呈华廷酒店
¥900/间 × 4 间 × 1 晚</x:v>
      </x:c>
      <x:c r="C23" s="34"/>
      <x:c r="D23" s="34"/>
      <x:c r="E23" s="47" t="n">
        <x:v>900</x:v>
      </x:c>
      <x:c r="F23" s="32" t="n">
        <x:v>4</x:v>
      </x:c>
      <x:c r="G23" s="48" t="n">
        <x:f>ROUND(E23*F23,0)</x:f>
        <x:v>3600</x:v>
      </x:c>
      <x:c r="H23" s="48" t="n">
        <x:f>ROUND(G23/8,0)</x:f>
        <x:v>450</x:v>
      </x:c>
      <x:c r="I23" s="34" t="str">
        <x:v>携程指定日期显示有房；公开页需登录查看结算价，按规划起始价测算</x:v>
      </x:c>
    </x:row>
    <x:row r="24" ht="58" customHeight="1">
      <x:c r="A24" s="32" t="str">
        <x:v>酒店</x:v>
      </x:c>
      <x:c r="B24" s="34" t="str">
        <x:v>D4 敦煌｜阳光城舒适 PLUS
¥353/间 × 4 间 × 1 晚</x:v>
      </x:c>
      <x:c r="C24" s="34"/>
      <x:c r="D24" s="34"/>
      <x:c r="E24" s="47" t="n">
        <x:v>353</x:v>
      </x:c>
      <x:c r="F24" s="32" t="n">
        <x:v>4</x:v>
      </x:c>
      <x:c r="G24" s="48" t="n">
        <x:f>ROUND(E24*F24,0)</x:f>
        <x:v>1412</x:v>
      </x:c>
      <x:c r="H24" s="48" t="n">
        <x:f>ROUND(G24/8,0)</x:f>
        <x:v>177</x:v>
      </x:c>
      <x:c r="I24" s="34" t="str">
        <x:v>Trip.com 旺季含税参考价；入住日需重新确认</x:v>
      </x:c>
    </x:row>
    <x:row r="25" ht="58" customHeight="1">
      <x:c r="A25" s="32" t="str">
        <x:v>酒店</x:v>
      </x:c>
      <x:c r="B25" s="34" t="str">
        <x:v>D5 敦煌续住｜阳光城舒适 PLUS
¥353/间 × 4 间 × 1 晚</x:v>
      </x:c>
      <x:c r="C25" s="34"/>
      <x:c r="D25" s="34"/>
      <x:c r="E25" s="47" t="n">
        <x:v>353</x:v>
      </x:c>
      <x:c r="F25" s="32" t="n">
        <x:v>4</x:v>
      </x:c>
      <x:c r="G25" s="48" t="n">
        <x:f>ROUND(E25*F25,0)</x:f>
        <x:v>1412</x:v>
      </x:c>
      <x:c r="H25" s="48" t="n">
        <x:f>ROUND(G25/8,0)</x:f>
        <x:v>177</x:v>
      </x:c>
      <x:c r="I25" s="34" t="str">
        <x:v>按同酒店续住一晚测算</x:v>
      </x:c>
    </x:row>
    <x:row r="26" ht="58" customHeight="1">
      <x:c r="A26" s="32" t="str">
        <x:v>酒店</x:v>
      </x:c>
      <x:c r="B26" s="34" t="str">
        <x:v>D6 嘉峪关｜公航旅嘉峪明珠酒店
¥450/间 × 4 间 × 1 晚</x:v>
      </x:c>
      <x:c r="C26" s="34"/>
      <x:c r="D26" s="34"/>
      <x:c r="E26" s="47" t="n">
        <x:v>450</x:v>
      </x:c>
      <x:c r="F26" s="32" t="n">
        <x:v>4</x:v>
      </x:c>
      <x:c r="G26" s="48" t="n">
        <x:f>ROUND(E26*F26,0)</x:f>
        <x:v>1800</x:v>
      </x:c>
      <x:c r="H26" s="48" t="n">
        <x:f>ROUND(G26/8,0)</x:f>
        <x:v>225</x:v>
      </x:c>
      <x:c r="I26" s="34" t="str">
        <x:v>携程可检索到的嘉峪关高档型酒店；采用暑期规划价，入住日需重新确认</x:v>
      </x:c>
    </x:row>
    <x:row r="27" ht="58" customHeight="1">
      <x:c r="A27" s="32" t="str">
        <x:v>酒店</x:v>
      </x:c>
      <x:c r="B27" s="34" t="str">
        <x:v>D7 峨堡镇｜祁连丝路宾馆
¥350/间 × 4 间 × 1 晚</x:v>
      </x:c>
      <x:c r="C27" s="34"/>
      <x:c r="D27" s="34"/>
      <x:c r="E27" s="47" t="n">
        <x:v>350</x:v>
      </x:c>
      <x:c r="F27" s="32" t="n">
        <x:v>4</x:v>
      </x:c>
      <x:c r="G27" s="48" t="n">
        <x:f>ROUND(E27*F27,0)</x:f>
        <x:v>1400</x:v>
      </x:c>
      <x:c r="H27" s="48" t="n">
        <x:f>ROUND(G27/8,0)</x:f>
        <x:v>175</x:v>
      </x:c>
      <x:c r="I27" s="34" t="str">
        <x:v>携程可检索到，位于峨堡镇派出所西侧；旺季房量有限，需优先确认 4 间双床和停车</x:v>
      </x:c>
    </x:row>
    <x:row r="28" ht="58" customHeight="1">
      <x:c r="A28" s="32" t="str">
        <x:v>门票及景交</x:v>
      </x:c>
      <x:c r="B28" s="34" t="str">
        <x:v>青海湖沿途合规观景
不进入二郎剑等收费景区 × 8 人</x:v>
      </x:c>
      <x:c r="C28" s="34"/>
      <x:c r="D28" s="34"/>
      <x:c r="E28" s="47" t="n">
        <x:v>0</x:v>
      </x:c>
      <x:c r="F28" s="32" t="n">
        <x:v>8</x:v>
      </x:c>
      <x:c r="G28" s="48" t="n">
        <x:f>ROUND(E28*F28,0)</x:f>
        <x:v>0</x:v>
      </x:c>
      <x:c r="H28" s="48" t="n">
        <x:f>ROUND(G28/8,0)</x:f>
        <x:v>0</x:v>
      </x:c>
      <x:c r="I28" s="34" t="str">
        <x:v>按本路线规划；如临时进入收费景区另计</x:v>
      </x:c>
    </x:row>
    <x:row r="29" ht="58" customHeight="1">
      <x:c r="A29" s="32" t="str">
        <x:v>门票及景交</x:v>
      </x:c>
      <x:c r="B29" s="34" t="str">
        <x:v>茶卡盐湖门票
¥60/人 × 8 人</x:v>
      </x:c>
      <x:c r="C29" s="34"/>
      <x:c r="D29" s="34"/>
      <x:c r="E29" s="47" t="n">
        <x:v>60</x:v>
      </x:c>
      <x:c r="F29" s="32" t="n">
        <x:v>8</x:v>
      </x:c>
      <x:c r="G29" s="48" t="n">
        <x:f>ROUND(E29*F29,0)</x:f>
        <x:v>480</x:v>
      </x:c>
      <x:c r="H29" s="48" t="n">
        <x:f>ROUND(G29/8,0)</x:f>
        <x:v>60</x:v>
      </x:c>
      <x:c r="I29" s="34" t="str">
        <x:v>景区官网旺季全价票
https://www.chakasl.com/pc/introduction/zeme/detail/1051.html</x:v>
      </x:c>
    </x:row>
    <x:row r="30" ht="58" customHeight="1">
      <x:c r="A30" s="32" t="str">
        <x:v>门票及景交</x:v>
      </x:c>
      <x:c r="B30" s="34" t="str">
        <x:v>茶卡盐湖集散中心摆渡车
往返 ¥30/人 × 8 人</x:v>
      </x:c>
      <x:c r="C30" s="34"/>
      <x:c r="D30" s="34"/>
      <x:c r="E30" s="47" t="n">
        <x:v>30</x:v>
      </x:c>
      <x:c r="F30" s="32" t="n">
        <x:v>8</x:v>
      </x:c>
      <x:c r="G30" s="48" t="n">
        <x:f>ROUND(E30*F30,0)</x:f>
        <x:v>240</x:v>
      </x:c>
      <x:c r="H30" s="48" t="n">
        <x:f>ROUND(G30/8,0)</x:f>
        <x:v>30</x:v>
      </x:c>
      <x:c r="I30" s="34" t="str">
        <x:v>景区官网公开价
https://www.chakasl.com/pc/introduction/zeme/detail/1051.html</x:v>
      </x:c>
    </x:row>
    <x:row r="31" ht="58" customHeight="1">
      <x:c r="A31" s="32" t="str">
        <x:v>门票及景交</x:v>
      </x:c>
      <x:c r="B31" s="34" t="str">
        <x:v>茶卡盐湖小火车
往返 ¥100/人 × 8 人</x:v>
      </x:c>
      <x:c r="C31" s="34"/>
      <x:c r="D31" s="34"/>
      <x:c r="E31" s="47" t="n">
        <x:v>100</x:v>
      </x:c>
      <x:c r="F31" s="32" t="n">
        <x:v>8</x:v>
      </x:c>
      <x:c r="G31" s="48" t="n">
        <x:f>ROUND(E31*F31,0)</x:f>
        <x:v>800</x:v>
      </x:c>
      <x:c r="H31" s="48" t="n">
        <x:f>ROUND(G31/8,0)</x:f>
        <x:v>100</x:v>
      </x:c>
      <x:c r="I31" s="34" t="str">
        <x:v>景区官网公开价；若只乘单程可减 ¥50/人
https://www.chakasl.com/pc/introduction/zeme/detail/1051.html</x:v>
      </x:c>
    </x:row>
    <x:row r="32" ht="58" customHeight="1">
      <x:c r="A32" s="32" t="str">
        <x:v>门票及景交</x:v>
      </x:c>
      <x:c r="B32" s="34" t="str">
        <x:v>大柴旦翡翠湖门票
¥50/人 × 8 人</x:v>
      </x:c>
      <x:c r="C32" s="34"/>
      <x:c r="D32" s="34"/>
      <x:c r="E32" s="47" t="n">
        <x:v>50</x:v>
      </x:c>
      <x:c r="F32" s="32" t="n">
        <x:v>8</x:v>
      </x:c>
      <x:c r="G32" s="48" t="n">
        <x:f>ROUND(E32*F32,0)</x:f>
        <x:v>400</x:v>
      </x:c>
      <x:c r="H32" s="48" t="n">
        <x:f>ROUND(G32/8,0)</x:f>
        <x:v>50</x:v>
      </x:c>
      <x:c r="I32" s="34" t="str">
        <x:v>公开平台旺季票价
https://gs.ctrip.com/html5/you/sight/haixiprefecture120012/4331367.html</x:v>
      </x:c>
    </x:row>
    <x:row r="33" ht="58" customHeight="1">
      <x:c r="A33" s="32" t="str">
        <x:v>门票及景交</x:v>
      </x:c>
      <x:c r="B33" s="34" t="str">
        <x:v>大柴旦翡翠湖观光小火车
¥60/人 × 8 人</x:v>
      </x:c>
      <x:c r="C33" s="34"/>
      <x:c r="D33" s="34"/>
      <x:c r="E33" s="47" t="n">
        <x:v>60</x:v>
      </x:c>
      <x:c r="F33" s="32" t="n">
        <x:v>8</x:v>
      </x:c>
      <x:c r="G33" s="48" t="n">
        <x:f>ROUND(E33*F33,0)</x:f>
        <x:v>480</x:v>
      </x:c>
      <x:c r="H33" s="48" t="n">
        <x:f>ROUND(G33/8,0)</x:f>
        <x:v>60</x:v>
      </x:c>
      <x:c r="I33" s="34" t="str">
        <x:v>公开平台价格
https://gs.ctrip.com/html5/you/sight/haixiprefecture120012/4331367.html</x:v>
      </x:c>
    </x:row>
    <x:row r="34" ht="58" customHeight="1">
      <x:c r="A34" s="32" t="str">
        <x:v>门票及景交</x:v>
      </x:c>
      <x:c r="B34" s="34" t="str">
        <x:v>黑独山开放区域
免费开放区域 × 8 人</x:v>
      </x:c>
      <x:c r="C34" s="34"/>
      <x:c r="D34" s="34"/>
      <x:c r="E34" s="47" t="n">
        <x:v>0</x:v>
      </x:c>
      <x:c r="F34" s="32" t="n">
        <x:v>8</x:v>
      </x:c>
      <x:c r="G34" s="48" t="n">
        <x:f>ROUND(E34*F34,0)</x:f>
        <x:v>0</x:v>
      </x:c>
      <x:c r="H34" s="48" t="n">
        <x:f>ROUND(G34/8,0)</x:f>
        <x:v>0</x:v>
      </x:c>
      <x:c r="I34" s="34" t="str">
        <x:v>不含当地临时管控或商业接驳</x:v>
      </x:c>
    </x:row>
    <x:row r="35" ht="58" customHeight="1">
      <x:c r="A35" s="32" t="str">
        <x:v>门票及景交</x:v>
      </x:c>
      <x:c r="B35" s="34" t="str">
        <x:v>莫高窟 A 类常规票
¥238/人 × 8 人</x:v>
      </x:c>
      <x:c r="C35" s="34"/>
      <x:c r="D35" s="34"/>
      <x:c r="E35" s="47" t="n">
        <x:v>238</x:v>
      </x:c>
      <x:c r="F35" s="32" t="n">
        <x:v>8</x:v>
      </x:c>
      <x:c r="G35" s="48" t="n">
        <x:f>ROUND(E35*F35,0)</x:f>
        <x:v>1904</x:v>
      </x:c>
      <x:c r="H35" s="48" t="n">
        <x:f>ROUND(G35/8,0)</x:f>
        <x:v>238</x:v>
      </x:c>
      <x:c r="I35" s="34" t="str">
        <x:v>旺季 A 类票；含数字电影、8 个洞窟、讲解和往返摆渡
https://www.dunhuangcaves.org/skxl/mgk.htm</x:v>
      </x:c>
    </x:row>
    <x:row r="36" ht="58" customHeight="1">
      <x:c r="A36" s="32" t="str">
        <x:v>门票及景交</x:v>
      </x:c>
      <x:c r="B36" s="34" t="str">
        <x:v>鸣沙山月牙泉门票
¥110/人 × 8 人</x:v>
      </x:c>
      <x:c r="C36" s="34"/>
      <x:c r="D36" s="34"/>
      <x:c r="E36" s="47" t="n">
        <x:v>110</x:v>
      </x:c>
      <x:c r="F36" s="32" t="n">
        <x:v>8</x:v>
      </x:c>
      <x:c r="G36" s="48" t="n">
        <x:f>ROUND(E36*F36,0)</x:f>
        <x:v>880</x:v>
      </x:c>
      <x:c r="H36" s="48" t="n">
        <x:f>ROUND(G36/8,0)</x:f>
        <x:v>110</x:v>
      </x:c>
      <x:c r="I36" s="34" t="str">
        <x:v>公开平台票价；骑骆驼等自选项目不计入基础预算
https://gs.ctrip.com/html5/you/sight/dunhuang8/1563.html</x:v>
      </x:c>
    </x:row>
    <x:row r="37" ht="58" customHeight="1">
      <x:c r="A37" s="32" t="str">
        <x:v>门票及景交</x:v>
      </x:c>
      <x:c r="B37" s="34" t="str">
        <x:v>张掖七彩丹霞门票
¥70/人 × 8 人</x:v>
      </x:c>
      <x:c r="C37" s="34"/>
      <x:c r="D37" s="34"/>
      <x:c r="E37" s="47" t="n">
        <x:v>70</x:v>
      </x:c>
      <x:c r="F37" s="32" t="n">
        <x:v>8</x:v>
      </x:c>
      <x:c r="G37" s="48" t="n">
        <x:f>ROUND(E37*F37,0)</x:f>
        <x:v>560</x:v>
      </x:c>
      <x:c r="H37" s="48" t="n">
        <x:f>ROUND(G37/8,0)</x:f>
        <x:v>70</x:v>
      </x:c>
      <x:c r="I37" s="34" t="str">
        <x:v>张掖市发展和改革委员会公布的旺季门票价格
https://www.zhangye.gov.cn/fgw/dzdt/tzgg/202507/t20250711_1426087.html</x:v>
      </x:c>
    </x:row>
    <x:row r="38" ht="58" customHeight="1">
      <x:c r="A38" s="32" t="str">
        <x:v>门票及景交</x:v>
      </x:c>
      <x:c r="B38" s="34" t="str">
        <x:v>张掖七彩丹霞观光车
¥23/人 × 8 人</x:v>
      </x:c>
      <x:c r="C38" s="34"/>
      <x:c r="D38" s="34"/>
      <x:c r="E38" s="47" t="n">
        <x:v>23</x:v>
      </x:c>
      <x:c r="F38" s="32" t="n">
        <x:v>8</x:v>
      </x:c>
      <x:c r="G38" s="48" t="n">
        <x:f>ROUND(E38*F38,0)</x:f>
        <x:v>184</x:v>
      </x:c>
      <x:c r="H38" s="48" t="n">
        <x:f>ROUND(G38/8,0)</x:f>
        <x:v>23</x:v>
      </x:c>
      <x:c r="I38" s="34" t="str">
        <x:v>按公开门票 + 观光车合计 ¥93/人拆分测算
https://www.zhangye.gov.cn/fgw/dzdt/tzgg/202507/t20250711_1426087.html</x:v>
      </x:c>
    </x:row>
    <x:row r="39" ht="58" customHeight="1">
      <x:c r="A39" s="32" t="str">
        <x:v>餐饮</x:v>
      </x:c>
      <x:c r="B39" s="34" t="str">
        <x:v>早餐补充
¥20/人/天 × 8 人 × 8 天</x:v>
      </x:c>
      <x:c r="C39" s="34"/>
      <x:c r="D39" s="34"/>
      <x:c r="E39" s="47" t="n">
        <x:v>20</x:v>
      </x:c>
      <x:c r="F39" s="32" t="n">
        <x:v>64</x:v>
      </x:c>
      <x:c r="G39" s="48" t="n">
        <x:f>ROUND(E39*F39,0)</x:f>
        <x:v>1280</x:v>
      </x:c>
      <x:c r="H39" s="48" t="n">
        <x:f>ROUND(G39/8,0)</x:f>
        <x:v>160</x:v>
      </x:c>
      <x:c r="I39" s="34" t="str">
        <x:v>部分酒店含早，按全程保守预留</x:v>
      </x:c>
    </x:row>
    <x:row r="40" ht="58" customHeight="1">
      <x:c r="A40" s="32" t="str">
        <x:v>餐饮</x:v>
      </x:c>
      <x:c r="B40" s="34" t="str">
        <x:v>午餐
¥50/人/天 × 8 人 × 8 天</x:v>
      </x:c>
      <x:c r="C40" s="34"/>
      <x:c r="D40" s="34"/>
      <x:c r="E40" s="47" t="n">
        <x:v>50</x:v>
      </x:c>
      <x:c r="F40" s="32" t="n">
        <x:v>64</x:v>
      </x:c>
      <x:c r="G40" s="48" t="n">
        <x:f>ROUND(E40*F40,0)</x:f>
        <x:v>3200</x:v>
      </x:c>
      <x:c r="H40" s="48" t="n">
        <x:f>ROUND(G40/8,0)</x:f>
        <x:v>400</x:v>
      </x:c>
      <x:c r="I40" s="34" t="str">
        <x:v>含 D7、D8 两次随车干粮，按西北公路餐饮规划值</x:v>
      </x:c>
    </x:row>
    <x:row r="41" ht="58" customHeight="1">
      <x:c r="A41" s="32" t="str">
        <x:v>餐饮</x:v>
      </x:c>
      <x:c r="B41" s="34" t="str">
        <x:v>晚餐
¥70/人/天 × 8 人 × 7 天</x:v>
      </x:c>
      <x:c r="C41" s="34"/>
      <x:c r="D41" s="34"/>
      <x:c r="E41" s="47" t="n">
        <x:v>70</x:v>
      </x:c>
      <x:c r="F41" s="32" t="n">
        <x:v>56</x:v>
      </x:c>
      <x:c r="G41" s="48" t="n">
        <x:f>ROUND(E41*F41,0)</x:f>
        <x:v>3920</x:v>
      </x:c>
      <x:c r="H41" s="48" t="n">
        <x:f>ROUND(G41/8,0)</x:f>
        <x:v>490</x:v>
      </x:c>
      <x:c r="I41" s="34" t="str">
        <x:v>按西宁、茶卡、大柴旦、敦煌、嘉峪关、峨堡镇等地餐饮规划值；D8 不计晚餐</x:v>
      </x:c>
    </x:row>
    <x:row r="42" ht="58" customHeight="1">
      <x:c r="A42" s="32" t="str">
        <x:v>餐饮</x:v>
      </x:c>
      <x:c r="B42" s="34" t="str">
        <x:v>饮水及零食
¥20/人/天 × 8 人 × 8 天</x:v>
      </x:c>
      <x:c r="C42" s="34"/>
      <x:c r="D42" s="34"/>
      <x:c r="E42" s="47" t="n">
        <x:v>20</x:v>
      </x:c>
      <x:c r="F42" s="32" t="n">
        <x:v>64</x:v>
      </x:c>
      <x:c r="G42" s="48" t="n">
        <x:f>ROUND(E42*F42,0)</x:f>
        <x:v>1280</x:v>
      </x:c>
      <x:c r="H42" s="48" t="n">
        <x:f>ROUND(G42/8,0)</x:f>
        <x:v>160</x:v>
      </x:c>
      <x:c r="I42" s="34" t="str">
        <x:v>长途驾驶补给预留</x:v>
      </x:c>
    </x:row>
    <x:row r="43" ht="58" customHeight="1">
      <x:c r="A43" s="32" t="str">
        <x:v>物资及机动</x:v>
      </x:c>
      <x:c r="B43" s="34" t="str">
        <x:v>氧气、常用药和应急用品
¥200/人 × 8 人</x:v>
      </x:c>
      <x:c r="C43" s="34"/>
      <x:c r="D43" s="34"/>
      <x:c r="E43" s="47" t="n">
        <x:v>200</x:v>
      </x:c>
      <x:c r="F43" s="32" t="n">
        <x:v>8</x:v>
      </x:c>
      <x:c r="G43" s="48" t="n">
        <x:f>ROUND(E43*F43,0)</x:f>
        <x:v>1600</x:v>
      </x:c>
      <x:c r="H43" s="48" t="n">
        <x:f>ROUND(G43/8,0)</x:f>
        <x:v>200</x:v>
      </x:c>
      <x:c r="I43" s="34" t="str">
        <x:v>高原、荒漠和长途路段随车物资预留</x:v>
      </x:c>
    </x:row>
    <x:row r="44" ht="58" customHeight="1">
      <x:c r="A44" s="32" t="str">
        <x:v>物资及机动</x:v>
      </x:c>
      <x:c r="B44" s="34" t="str">
        <x:v>机动金
上述费用小计的约 5%</x:v>
      </x:c>
      <x:c r="C44" s="34"/>
      <x:c r="D44" s="34"/>
      <x:c r="E44" s="50" t="n">
        <x:v>0.05</x:v>
      </x:c>
      <x:c r="F44" s="32" t="n">
        <x:v>1</x:v>
      </x:c>
      <x:c r="G44" s="48" t="n">
        <x:f>ROUND(SUM(G15:G43)*E44,0)</x:f>
        <x:v>2263</x:v>
      </x:c>
      <x:c r="H44" s="48" t="n">
        <x:f>ROUND(G44/8,0)</x:f>
        <x:v>283</x:v>
      </x:c>
      <x:c r="I44" s="34" t="str">
        <x:v>用于旺季价格波动、临时补给和小额改签</x:v>
      </x:c>
    </x:row>
    <x:row r="45" ht="42" customHeight="1">
      <x:c r="A45" s="38" t="str">
        <x:v>费用合计</x:v>
      </x:c>
      <x:c r="B45" s="38" t="str">
        <x:v>合计</x:v>
      </x:c>
      <x:c r="C45" s="38"/>
      <x:c r="D45" s="38"/>
      <x:c r="E45" s="38"/>
      <x:c r="F45" s="38"/>
      <x:c r="G45" s="52" t="n">
        <x:f>SUM(G15:G44)</x:f>
        <x:v>47518</x:v>
      </x:c>
      <x:c r="H45" s="52" t="n">
        <x:f>ROUND(G45/8,0)</x:f>
        <x:v>5940</x:v>
      </x:c>
      <x:c r="I45" s="38" t="str">
        <x:v>按 8 人测算</x:v>
      </x:c>
    </x:row>
    <x:row r="46" ht="64" customHeight="1">
      <x:c r="A46" s="41" t="str">
        <x:v>不含项目：不含抵达西宁和离开西宁的大交通、个人购物、单房差及未列明的自选娱乐项目。租车与酒店价格须在下单前以平台结算页重新核验。 自选项目（未计入）：鸣沙山骑骆驼、滑沙、越野车等自选项目、莫高窟特窟票、茶卡盐湖游船、观光塔等自选项目、青海湖临时进入收费景区的门票。</x:v>
      </x:c>
      <x:c r="B46" s="41"/>
      <x:c r="C46" s="41"/>
      <x:c r="D46" s="41"/>
      <x:c r="E46" s="41"/>
      <x:c r="F46" s="41"/>
      <x:c r="G46" s="41"/>
      <x:c r="H46" s="41"/>
      <x:c r="I46" s="41"/>
    </x:row>
    <x:row r="47" ht="2" customHeight="1"/>
    <x:row r="48" ht="2" customHeight="1"/>
    <x:row r="49" ht="2" customHeight="1"/>
    <x:row r="50" ht="2" customHeight="1"/>
    <x:row r="51" ht="2" customHeight="1"/>
    <x:row r="52" ht="2" customHeight="1"/>
    <x:row r="53" ht="2" customHeight="1"/>
    <x:row r="54" ht="2" customHeight="1"/>
    <x:row r="55" ht="2" customHeight="1"/>
    <x:row r="56" ht="2" customHeight="1"/>
    <x:row r="57" ht="2" customHeight="1"/>
    <x:row r="58" ht="2" customHeight="1"/>
    <x:row r="59" ht="2" customHeight="1"/>
    <x:row r="60" ht="2" customHeight="1"/>
  </x:sheetData>
  <x:mergeCells>
    <x:mergeCell ref="I1:J1"/>
    <x:mergeCell ref="A11:I11"/>
    <x:mergeCell ref="A12:I12"/>
    <x:mergeCell ref="A13:D13"/>
    <x:mergeCell ref="E13:F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25:D25"/>
    <x:mergeCell ref="B26:D26"/>
    <x:mergeCell ref="B27:D27"/>
    <x:mergeCell ref="B28:D28"/>
    <x:mergeCell ref="B29:D29"/>
    <x:mergeCell ref="B30:D30"/>
    <x:mergeCell ref="B31:D31"/>
    <x:mergeCell ref="B32:D32"/>
    <x:mergeCell ref="B33:D33"/>
    <x:mergeCell ref="B34:D34"/>
    <x:mergeCell ref="B35:D35"/>
    <x:mergeCell ref="B36:D36"/>
    <x:mergeCell ref="B37:D37"/>
    <x:mergeCell ref="B38:D38"/>
    <x:mergeCell ref="B39:D39"/>
    <x:mergeCell ref="B40:D40"/>
    <x:mergeCell ref="B41:D41"/>
    <x:mergeCell ref="B42:D42"/>
    <x:mergeCell ref="B43:D43"/>
    <x:mergeCell ref="B44:D44"/>
    <x:mergeCell ref="B45:D45"/>
    <x:mergeCell ref="A46:I46"/>
  </x:mergeCells>
  <x:pageMargins left="0.7" right="0.7" top="0.75" bottom="0.75" header="0.3" footer="0.3"/>
</x:worksheet>
</file>